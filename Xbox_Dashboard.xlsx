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kmud\Downloads\"/>
    </mc:Choice>
  </mc:AlternateContent>
  <xr:revisionPtr revIDLastSave="0" documentId="13_ncr:1_{93928BCA-B7FE-41E3-AD3F-AB71F5195987}" xr6:coauthVersionLast="47" xr6:coauthVersionMax="47" xr10:uidLastSave="{00000000-0000-0000-0000-000000000000}"/>
  <bookViews>
    <workbookView xWindow="-120" yWindow="-120" windowWidth="38640" windowHeight="15840" tabRatio="126" firstSheet="5" activeTab="5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Bases" sheetId="5" state="hidden" r:id="rId4"/>
    <sheet name="Calculos" sheetId="6" state="hidden" r:id="rId5"/>
    <sheet name="D̳ashboard" sheetId="4" r:id="rId6"/>
  </sheets>
  <definedNames>
    <definedName name="SegmentaçãodeDados_Subscription_Type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2" i="6"/>
  <c r="B7" i="6"/>
  <c r="B6" i="6"/>
  <c r="B5" i="6"/>
  <c r="B3" i="6"/>
  <c r="B4" i="6"/>
  <c r="B1" i="6"/>
  <c r="E25" i="3"/>
  <c r="E36" i="3"/>
</calcChain>
</file>

<file path=xl/sharedStrings.xml><?xml version="1.0" encoding="utf-8"?>
<sst xmlns="http://schemas.openxmlformats.org/spreadsheetml/2006/main" count="2632" uniqueCount="329">
  <si>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</si>
  <si>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</si>
  <si>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</si>
  <si>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</si>
  <si>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</si>
  <si>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</si>
  <si>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</si>
  <si>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</si>
  <si>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</si>
  <si>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</si>
  <si>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</si>
  <si>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</si>
  <si>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</si>
  <si>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</si>
  <si>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</si>
  <si>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</si>
  <si>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</si>
  <si>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</si>
  <si>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</si>
  <si>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</si>
  <si>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</si>
  <si>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</si>
  <si>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</si>
  <si>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</si>
  <si>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</si>
  <si>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</si>
  <si>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</si>
  <si>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</si>
  <si>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</si>
  <si>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</si>
  <si>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</si>
  <si>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</si>
  <si>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</si>
  <si>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</si>
  <si>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</si>
  <si>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</si>
  <si>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</si>
  <si>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</si>
  <si>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</si>
  <si>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</si>
  <si>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</si>
  <si>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</si>
  <si>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</si>
  <si>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</si>
  <si>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</si>
  <si>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</si>
  <si>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</si>
  <si>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</si>
  <si>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</si>
  <si>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</si>
  <si>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</si>
  <si>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</si>
  <si>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</si>
  <si>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</si>
  <si>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</si>
  <si>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</si>
  <si>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</si>
  <si>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</si>
  <si>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</si>
  <si>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</si>
  <si>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</si>
  <si>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</si>
  <si>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</si>
  <si>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</si>
  <si>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</si>
  <si>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</si>
  <si>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</si>
  <si>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</si>
  <si>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</si>
  <si>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</si>
  <si>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</si>
  <si>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</si>
  <si>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</si>
  <si>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</si>
  <si>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</si>
  <si>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</si>
  <si>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</si>
  <si>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</si>
  <si>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</si>
  <si>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</si>
  <si>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</si>
  <si>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</si>
  <si>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</si>
  <si>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</si>
  <si>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</si>
  <si>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</si>
  <si>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</si>
  <si>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</si>
  <si>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</si>
  <si>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</si>
  <si>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</si>
  <si>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</si>
  <si>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</si>
  <si>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</si>
  <si>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</si>
  <si>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</si>
  <si>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</si>
  <si>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</si>
  <si>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</si>
  <si>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</si>
  <si>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</si>
  <si>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</si>
  <si>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</si>
  <si>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</si>
  <si>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</si>
  <si>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</si>
  <si>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</si>
  <si>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</si>
  <si>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</si>
  <si>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</si>
  <si>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</si>
  <si>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</si>
  <si>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</si>
  <si>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</si>
  <si>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</si>
  <si>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</si>
  <si>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</si>
  <si>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</si>
  <si>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</si>
  <si>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</si>
  <si>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</si>
  <si>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</si>
  <si>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</si>
  <si>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</si>
  <si>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</si>
  <si>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</si>
  <si>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</si>
  <si>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</si>
  <si>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</si>
  <si>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</si>
  <si>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</si>
  <si>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</si>
  <si>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</si>
  <si>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</si>
  <si>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</si>
  <si>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</si>
  <si>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</si>
  <si>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</si>
  <si>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</si>
  <si>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</si>
  <si>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</si>
  <si>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</si>
  <si>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</si>
  <si>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</si>
  <si>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</si>
  <si>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</si>
  <si>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</si>
  <si>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</si>
  <si>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</si>
  <si>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</si>
  <si>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</si>
  <si>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</si>
  <si>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</si>
  <si>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</si>
  <si>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</si>
  <si>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</si>
  <si>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</si>
  <si>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</si>
  <si>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</si>
  <si>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</si>
  <si>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</si>
  <si>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</si>
  <si>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</si>
  <si>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</si>
  <si>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</si>
  <si>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</si>
  <si>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</si>
  <si>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</si>
  <si>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</si>
  <si>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</si>
  <si>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</si>
  <si>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</si>
  <si>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</si>
  <si>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</si>
  <si>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</si>
  <si>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</si>
  <si>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</si>
  <si>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</si>
  <si>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</si>
  <si>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</si>
  <si>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</si>
  <si>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</si>
  <si>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</si>
  <si>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</si>
  <si>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</si>
  <si>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</si>
  <si>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</si>
  <si>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</si>
  <si>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</si>
  <si>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</si>
  <si>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</si>
  <si>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</si>
  <si>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</si>
  <si>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</si>
  <si>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</si>
  <si>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</si>
  <si>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</si>
  <si>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</si>
  <si>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</si>
  <si>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</si>
  <si>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</si>
  <si>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</si>
  <si>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</si>
  <si>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</si>
  <si>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</si>
  <si>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</si>
  <si>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</si>
  <si>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</si>
  <si>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</si>
  <si>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</si>
  <si>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</si>
  <si>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</si>
  <si>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</si>
  <si>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</si>
  <si>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</si>
  <si>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</si>
  <si>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</si>
  <si>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</si>
  <si>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</si>
  <si>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</si>
  <si>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</si>
  <si>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</si>
  <si>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</si>
  <si>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</si>
  <si>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</si>
  <si>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</si>
  <si>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</si>
  <si>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</si>
  <si>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</si>
  <si>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</si>
  <si>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</si>
  <si>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</si>
  <si>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</si>
  <si>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</si>
  <si>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</si>
  <si>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</si>
  <si>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</si>
  <si>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</si>
  <si>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</si>
  <si>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</si>
  <si>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</si>
  <si>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</si>
  <si>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</si>
  <si>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</si>
  <si>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</si>
  <si>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</si>
  <si>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</si>
  <si>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</si>
  <si>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</si>
  <si>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</si>
  <si>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</si>
  <si>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</si>
  <si>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</si>
  <si>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</si>
  <si>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</si>
  <si>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</si>
  <si>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</si>
  <si>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</si>
  <si>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</si>
  <si>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</si>
  <si>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</si>
  <si>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</si>
  <si>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</si>
  <si>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</si>
  <si>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</si>
  <si>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</si>
  <si>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</si>
  <si>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</si>
  <si>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</si>
  <si>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</si>
  <si>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</si>
  <si>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</si>
  <si>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</si>
  <si>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</si>
  <si>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</si>
  <si>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</si>
  <si>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</si>
  <si>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</si>
  <si>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</si>
  <si>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</si>
  <si>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</si>
  <si>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</si>
  <si>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</si>
  <si>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</si>
  <si>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</si>
  <si>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</si>
  <si>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</si>
  <si>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</si>
  <si>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</si>
  <si>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</si>
  <si>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</si>
  <si>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</si>
  <si>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</si>
  <si>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</si>
  <si>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</si>
  <si>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</si>
  <si>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</si>
  <si>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</si>
  <si>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</si>
  <si>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</si>
  <si>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</si>
  <si>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</si>
  <si>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</si>
  <si>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</si>
  <si>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</si>
  <si>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</si>
  <si>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</si>
  <si>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</si>
  <si>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</si>
  <si>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</si>
  <si>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</si>
  <si>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</si>
  <si>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</si>
  <si>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</si>
  <si>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</si>
  <si>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</si>
  <si>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</si>
  <si>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</si>
  <si>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</si>
  <si>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</si>
  <si>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</si>
  <si>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</si>
  <si>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</si>
  <si>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</si>
  <si>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Total Monthly</t>
  </si>
  <si>
    <t>Total Quarterly</t>
  </si>
  <si>
    <t>Total Annual</t>
  </si>
  <si>
    <t>Auto Renewal - Yes</t>
  </si>
  <si>
    <t>Auto Renewal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</si>
</sst>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166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8" fontId="0" fillId="0" borderId="0" xfId="0" applyNumberFormat="1"/>
    <xf numFmtId="0" fontId="7" fillId="0" borderId="0" xfId="0" applyFont="1"/>
  </cellXfs>
  <cellStyles count="5">
    <cellStyle name="Moeda" xfId="2" builtinId="4"/>
    <cellStyle name="Moeda 2" xfId="4" xr:uid="{970C9BB2-4854-4B31-9ADD-97D3BDE94D7D}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1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351-875F-4A4F5DBBC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3</xdr:row>
      <xdr:rowOff>0</xdr:rowOff>
    </xdr:from>
    <xdr:to>
      <xdr:col>12</xdr:col>
      <xdr:colOff>314325</xdr:colOff>
      <xdr:row>4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832417" y="80433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twoCellAnchor>
  <xdr:twoCellAnchor editAs="oneCell">
    <xdr:from>
      <xdr:col>14</xdr:col>
      <xdr:colOff>19050</xdr:colOff>
      <xdr:row>3</xdr:row>
      <xdr:rowOff>0</xdr:rowOff>
    </xdr:from>
    <xdr:to>
      <xdr:col>14</xdr:col>
      <xdr:colOff>323850</xdr:colOff>
      <xdr:row>4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15155333" y="80433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pt-BR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41501</xdr:colOff>
      <xdr:row>23</xdr:row>
      <xdr:rowOff>124505</xdr:rowOff>
    </xdr:from>
    <xdr:to>
      <xdr:col>9</xdr:col>
      <xdr:colOff>446314</xdr:colOff>
      <xdr:row>32</xdr:row>
      <xdr:rowOff>64974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19683" y="4350141"/>
          <a:ext cx="4647767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181995</xdr:colOff>
      <xdr:row>23</xdr:row>
      <xdr:rowOff>124505</xdr:rowOff>
    </xdr:from>
    <xdr:to>
      <xdr:col>19</xdr:col>
      <xdr:colOff>146276</xdr:colOff>
      <xdr:row>31</xdr:row>
      <xdr:rowOff>179274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5404" y="4350141"/>
          <a:ext cx="4640190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29595</xdr:colOff>
      <xdr:row>34</xdr:row>
      <xdr:rowOff>22111</xdr:rowOff>
    </xdr:from>
    <xdr:to>
      <xdr:col>19</xdr:col>
      <xdr:colOff>172470</xdr:colOff>
      <xdr:row>51</xdr:row>
      <xdr:rowOff>81642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07777" y="6343247"/>
          <a:ext cx="10274011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Vitor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7</xdr:col>
      <xdr:colOff>608239</xdr:colOff>
      <xdr:row>13</xdr:row>
      <xdr:rowOff>172809</xdr:rowOff>
    </xdr:from>
    <xdr:to>
      <xdr:col>13</xdr:col>
      <xdr:colOff>153726</xdr:colOff>
      <xdr:row>22</xdr:row>
      <xdr:rowOff>40831</xdr:rowOff>
    </xdr:to>
    <xdr:grpSp>
      <xdr:nvGrpSpPr>
        <xdr:cNvPr id="86" name="Agrupar 85">
          <a:extLst>
            <a:ext uri="{FF2B5EF4-FFF2-40B4-BE49-F238E27FC236}">
              <a16:creationId xmlns:a16="http://schemas.microsoft.com/office/drawing/2014/main" id="{2D4191CD-295E-45D4-AE18-11610CEA6A6D}"/>
            </a:ext>
          </a:extLst>
        </xdr:cNvPr>
        <xdr:cNvGrpSpPr/>
      </xdr:nvGrpSpPr>
      <xdr:grpSpPr>
        <a:xfrm>
          <a:off x="5717103" y="2493445"/>
          <a:ext cx="3009123" cy="1582522"/>
          <a:chOff x="2095500" y="1143000"/>
          <a:chExt cx="4718654" cy="1571625"/>
        </a:xfrm>
      </xdr:grpSpPr>
      <xdr:sp macro="" textlink="">
        <xdr:nvSpPr>
          <xdr:cNvPr id="87" name="Retângulo: Cantos Arredondados 86">
            <a:extLst>
              <a:ext uri="{FF2B5EF4-FFF2-40B4-BE49-F238E27FC236}">
                <a16:creationId xmlns:a16="http://schemas.microsoft.com/office/drawing/2014/main" id="{35BE51CC-4048-B848-645F-2B04034E7F0A}"/>
              </a:ext>
            </a:extLst>
          </xdr:cNvPr>
          <xdr:cNvSpPr/>
        </xdr:nvSpPr>
        <xdr:spPr>
          <a:xfrm>
            <a:off x="2158811" y="1202531"/>
            <a:ext cx="4655343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800" kern="1200"/>
          </a:p>
        </xdr:txBody>
      </xdr:sp>
      <xdr:sp macro="" textlink="Calculos!B6">
        <xdr:nvSpPr>
          <xdr:cNvPr id="88" name="Retângulo: Cantos Arredondados 87">
            <a:extLst>
              <a:ext uri="{FF2B5EF4-FFF2-40B4-BE49-F238E27FC236}">
                <a16:creationId xmlns:a16="http://schemas.microsoft.com/office/drawing/2014/main" id="{722F3E8E-FEFE-42DD-05F2-ABE77BA74DC9}"/>
              </a:ext>
            </a:extLst>
          </xdr:cNvPr>
          <xdr:cNvSpPr/>
        </xdr:nvSpPr>
        <xdr:spPr>
          <a:xfrm>
            <a:off x="2095502" y="1709738"/>
            <a:ext cx="46701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E9ADEE-752A-4BB9-B6A5-6C534E2F42F0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33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89" name="Retângulo: Cantos Superiores Arredondados 88">
            <a:extLst>
              <a:ext uri="{FF2B5EF4-FFF2-40B4-BE49-F238E27FC236}">
                <a16:creationId xmlns:a16="http://schemas.microsoft.com/office/drawing/2014/main" id="{3DDE8BD6-F32E-166E-BA44-8311E193320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QUARTERLY</a:t>
            </a:r>
          </a:p>
        </xdr:txBody>
      </xdr:sp>
    </xdr:grpSp>
    <xdr:clientData/>
  </xdr:twoCellAnchor>
  <xdr:twoCellAnchor editAs="absolute">
    <xdr:from>
      <xdr:col>14</xdr:col>
      <xdr:colOff>93890</xdr:colOff>
      <xdr:row>13</xdr:row>
      <xdr:rowOff>163284</xdr:rowOff>
    </xdr:from>
    <xdr:to>
      <xdr:col>19</xdr:col>
      <xdr:colOff>55789</xdr:colOff>
      <xdr:row>22</xdr:row>
      <xdr:rowOff>31306</xdr:rowOff>
    </xdr:to>
    <xdr:grpSp>
      <xdr:nvGrpSpPr>
        <xdr:cNvPr id="90" name="Agrupar 89">
          <a:extLst>
            <a:ext uri="{FF2B5EF4-FFF2-40B4-BE49-F238E27FC236}">
              <a16:creationId xmlns:a16="http://schemas.microsoft.com/office/drawing/2014/main" id="{256832F8-FC33-4A08-8626-2FF443A96E8F}"/>
            </a:ext>
          </a:extLst>
        </xdr:cNvPr>
        <xdr:cNvGrpSpPr/>
      </xdr:nvGrpSpPr>
      <xdr:grpSpPr>
        <a:xfrm>
          <a:off x="9272526" y="2483920"/>
          <a:ext cx="2992581" cy="1582522"/>
          <a:chOff x="2080676" y="1143000"/>
          <a:chExt cx="4684995" cy="1571625"/>
        </a:xfrm>
      </xdr:grpSpPr>
      <xdr:sp macro="" textlink="">
        <xdr:nvSpPr>
          <xdr:cNvPr id="91" name="Retângulo: Cantos Arredondados 90">
            <a:extLst>
              <a:ext uri="{FF2B5EF4-FFF2-40B4-BE49-F238E27FC236}">
                <a16:creationId xmlns:a16="http://schemas.microsoft.com/office/drawing/2014/main" id="{2B6C87DF-62A6-28EA-DA60-802C0B720507}"/>
              </a:ext>
            </a:extLst>
          </xdr:cNvPr>
          <xdr:cNvSpPr/>
        </xdr:nvSpPr>
        <xdr:spPr>
          <a:xfrm>
            <a:off x="2095500" y="1202531"/>
            <a:ext cx="4655343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!B7">
        <xdr:nvSpPr>
          <xdr:cNvPr id="92" name="Retângulo: Cantos Arredondados 91">
            <a:extLst>
              <a:ext uri="{FF2B5EF4-FFF2-40B4-BE49-F238E27FC236}">
                <a16:creationId xmlns:a16="http://schemas.microsoft.com/office/drawing/2014/main" id="{BA5E220A-832D-96C3-7E53-0A2FD9A05AE8}"/>
              </a:ext>
            </a:extLst>
          </xdr:cNvPr>
          <xdr:cNvSpPr/>
        </xdr:nvSpPr>
        <xdr:spPr>
          <a:xfrm>
            <a:off x="2080676" y="1709738"/>
            <a:ext cx="4684995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7270325-9BA2-4E4E-A437-639C2FC77709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20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93" name="Retângulo: Cantos Superiores Arredondados 92">
            <a:extLst>
              <a:ext uri="{FF2B5EF4-FFF2-40B4-BE49-F238E27FC236}">
                <a16:creationId xmlns:a16="http://schemas.microsoft.com/office/drawing/2014/main" id="{E186CEA6-7A6D-FCCA-0F5C-92ABBE029D41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ANNUAL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138792</xdr:colOff>
      <xdr:row>14</xdr:row>
      <xdr:rowOff>32656</xdr:rowOff>
    </xdr:from>
    <xdr:to>
      <xdr:col>7</xdr:col>
      <xdr:colOff>110216</xdr:colOff>
      <xdr:row>22</xdr:row>
      <xdr:rowOff>88456</xdr:rowOff>
    </xdr:to>
    <xdr:grpSp>
      <xdr:nvGrpSpPr>
        <xdr:cNvPr id="94" name="Agrupar 93">
          <a:extLst>
            <a:ext uri="{FF2B5EF4-FFF2-40B4-BE49-F238E27FC236}">
              <a16:creationId xmlns:a16="http://schemas.microsoft.com/office/drawing/2014/main" id="{E211FAAD-42AF-4584-BF7E-79FF1558E8F7}"/>
            </a:ext>
          </a:extLst>
        </xdr:cNvPr>
        <xdr:cNvGrpSpPr/>
      </xdr:nvGrpSpPr>
      <xdr:grpSpPr>
        <a:xfrm>
          <a:off x="2216974" y="2543792"/>
          <a:ext cx="3002106" cy="1579800"/>
          <a:chOff x="2095500" y="1143000"/>
          <a:chExt cx="4699821" cy="1571625"/>
        </a:xfrm>
      </xdr:grpSpPr>
      <xdr:sp macro="" textlink="">
        <xdr:nvSpPr>
          <xdr:cNvPr id="95" name="Retângulo: Cantos Arredondados 94">
            <a:extLst>
              <a:ext uri="{FF2B5EF4-FFF2-40B4-BE49-F238E27FC236}">
                <a16:creationId xmlns:a16="http://schemas.microsoft.com/office/drawing/2014/main" id="{8C1F306F-AF47-5060-6B12-322D3467C1F2}"/>
              </a:ext>
            </a:extLst>
          </xdr:cNvPr>
          <xdr:cNvSpPr/>
        </xdr:nvSpPr>
        <xdr:spPr>
          <a:xfrm>
            <a:off x="2095500" y="1202531"/>
            <a:ext cx="4655345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3600" kern="1200">
              <a:latin typeface="+mn-lt"/>
            </a:endParaRPr>
          </a:p>
        </xdr:txBody>
      </xdr:sp>
      <xdr:sp macro="" textlink="Calculos!B5">
        <xdr:nvSpPr>
          <xdr:cNvPr id="96" name="Retângulo: Cantos Arredondados 95">
            <a:extLst>
              <a:ext uri="{FF2B5EF4-FFF2-40B4-BE49-F238E27FC236}">
                <a16:creationId xmlns:a16="http://schemas.microsoft.com/office/drawing/2014/main" id="{D2978AEB-BE72-6DC1-6C1A-7C8107FFFCCE}"/>
              </a:ext>
            </a:extLst>
          </xdr:cNvPr>
          <xdr:cNvSpPr/>
        </xdr:nvSpPr>
        <xdr:spPr>
          <a:xfrm>
            <a:off x="2125153" y="1709738"/>
            <a:ext cx="4670168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C053DF3-62EF-4F13-B68C-4E72CE0C8E26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45</a:t>
            </a:fld>
            <a:endParaRPr lang="pt-BR" sz="3600" kern="1200">
              <a:solidFill>
                <a:srgbClr val="22C55E"/>
              </a:solidFill>
              <a:latin typeface="+mn-lt"/>
            </a:endParaRPr>
          </a:p>
        </xdr:txBody>
      </xdr:sp>
      <xdr:sp macro="" textlink="">
        <xdr:nvSpPr>
          <xdr:cNvPr id="97" name="Retângulo: Cantos Superiores Arredondados 96">
            <a:extLst>
              <a:ext uri="{FF2B5EF4-FFF2-40B4-BE49-F238E27FC236}">
                <a16:creationId xmlns:a16="http://schemas.microsoft.com/office/drawing/2014/main" id="{6E2F0926-01ED-4B41-C5AB-8DA4F26D516E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+mn-lt"/>
                <a:cs typeface="Segoe UI" panose="020B0502040204020203" pitchFamily="34" charset="0"/>
              </a:rPr>
              <a:t>TOTAL MONTHLY</a:t>
            </a:r>
          </a:p>
        </xdr:txBody>
      </xdr:sp>
    </xdr:grpSp>
    <xdr:clientData/>
  </xdr:twoCellAnchor>
  <xdr:twoCellAnchor editAs="absolute">
    <xdr:from>
      <xdr:col>2</xdr:col>
      <xdr:colOff>168727</xdr:colOff>
      <xdr:row>7</xdr:row>
      <xdr:rowOff>108857</xdr:rowOff>
    </xdr:from>
    <xdr:to>
      <xdr:col>19</xdr:col>
      <xdr:colOff>163286</xdr:colOff>
      <xdr:row>12</xdr:row>
      <xdr:rowOff>149679</xdr:rowOff>
    </xdr:to>
    <xdr:grpSp>
      <xdr:nvGrpSpPr>
        <xdr:cNvPr id="98" name="Agrupar 97">
          <a:extLst>
            <a:ext uri="{FF2B5EF4-FFF2-40B4-BE49-F238E27FC236}">
              <a16:creationId xmlns:a16="http://schemas.microsoft.com/office/drawing/2014/main" id="{9E7CB8A5-B84E-4D2C-83E5-817F458C8D84}"/>
            </a:ext>
          </a:extLst>
        </xdr:cNvPr>
        <xdr:cNvGrpSpPr/>
      </xdr:nvGrpSpPr>
      <xdr:grpSpPr>
        <a:xfrm>
          <a:off x="2246909" y="1355766"/>
          <a:ext cx="10125695" cy="924049"/>
          <a:chOff x="2095500" y="1143000"/>
          <a:chExt cx="4699821" cy="1571625"/>
        </a:xfrm>
      </xdr:grpSpPr>
      <xdr:sp macro="" textlink="">
        <xdr:nvSpPr>
          <xdr:cNvPr id="99" name="Retângulo: Cantos Arredondados 98">
            <a:extLst>
              <a:ext uri="{FF2B5EF4-FFF2-40B4-BE49-F238E27FC236}">
                <a16:creationId xmlns:a16="http://schemas.microsoft.com/office/drawing/2014/main" id="{6306C81D-FC10-DC02-6583-E736294F1482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alculos!B1">
        <xdr:nvSpPr>
          <xdr:cNvPr id="100" name="Retângulo: Cantos Arredondados 99">
            <a:extLst>
              <a:ext uri="{FF2B5EF4-FFF2-40B4-BE49-F238E27FC236}">
                <a16:creationId xmlns:a16="http://schemas.microsoft.com/office/drawing/2014/main" id="{28004F3D-BFDA-1CB7-226E-5B2C39F689E4}"/>
              </a:ext>
            </a:extLst>
          </xdr:cNvPr>
          <xdr:cNvSpPr/>
        </xdr:nvSpPr>
        <xdr:spPr>
          <a:xfrm>
            <a:off x="2125153" y="1709738"/>
            <a:ext cx="4670168" cy="942974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F4E71A0-693D-4B9E-A40C-B1EAB0D6BB64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R$ 5.388,00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01" name="Retângulo: Cantos Superiores Arredondados 100">
            <a:extLst>
              <a:ext uri="{FF2B5EF4-FFF2-40B4-BE49-F238E27FC236}">
                <a16:creationId xmlns:a16="http://schemas.microsoft.com/office/drawing/2014/main" id="{A78FADDC-42E8-7F95-E8BA-4D432488049F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VALUE</a:t>
            </a:r>
          </a:p>
        </xdr:txBody>
      </xdr:sp>
    </xdr:grpSp>
    <xdr:clientData/>
  </xdr:twoCellAnchor>
  <xdr:twoCellAnchor>
    <xdr:from>
      <xdr:col>0</xdr:col>
      <xdr:colOff>393807</xdr:colOff>
      <xdr:row>1</xdr:row>
      <xdr:rowOff>0</xdr:rowOff>
    </xdr:from>
    <xdr:to>
      <xdr:col>0</xdr:col>
      <xdr:colOff>1170214</xdr:colOff>
      <xdr:row>4</xdr:row>
      <xdr:rowOff>54429</xdr:rowOff>
    </xdr:to>
    <xdr:sp macro="" textlink="">
      <xdr:nvSpPr>
        <xdr:cNvPr id="103" name="Elipse 102">
          <a:extLst>
            <a:ext uri="{FF2B5EF4-FFF2-40B4-BE49-F238E27FC236}">
              <a16:creationId xmlns:a16="http://schemas.microsoft.com/office/drawing/2014/main" id="{29677BF6-9A23-40A4-B115-F1D437CBE12E}"/>
            </a:ext>
          </a:extLst>
        </xdr:cNvPr>
        <xdr:cNvSpPr/>
      </xdr:nvSpPr>
      <xdr:spPr>
        <a:xfrm>
          <a:off x="393807" y="190500"/>
          <a:ext cx="776407" cy="762000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40821</xdr:colOff>
      <xdr:row>53</xdr:row>
      <xdr:rowOff>108857</xdr:rowOff>
    </xdr:from>
    <xdr:to>
      <xdr:col>19</xdr:col>
      <xdr:colOff>183696</xdr:colOff>
      <xdr:row>70</xdr:row>
      <xdr:rowOff>168388</xdr:rowOff>
    </xdr:to>
    <xdr:grpSp>
      <xdr:nvGrpSpPr>
        <xdr:cNvPr id="151" name="Agrupar 150">
          <a:extLst>
            <a:ext uri="{FF2B5EF4-FFF2-40B4-BE49-F238E27FC236}">
              <a16:creationId xmlns:a16="http://schemas.microsoft.com/office/drawing/2014/main" id="{33479D10-60CA-43BA-AB52-7578BE4BCE36}"/>
            </a:ext>
          </a:extLst>
        </xdr:cNvPr>
        <xdr:cNvGrpSpPr/>
      </xdr:nvGrpSpPr>
      <xdr:grpSpPr>
        <a:xfrm>
          <a:off x="2119003" y="10049493"/>
          <a:ext cx="10274011" cy="3298031"/>
          <a:chOff x="2083594" y="3178969"/>
          <a:chExt cx="10298906" cy="3298031"/>
        </a:xfrm>
      </xdr:grpSpPr>
      <xdr:grpSp>
        <xdr:nvGrpSpPr>
          <xdr:cNvPr id="152" name="Agrupar 151">
            <a:extLst>
              <a:ext uri="{FF2B5EF4-FFF2-40B4-BE49-F238E27FC236}">
                <a16:creationId xmlns:a16="http://schemas.microsoft.com/office/drawing/2014/main" id="{5C0B5922-D9D6-7BB3-30D9-8B4D15EE43D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154" name="Retângulo: Cantos Arredondados 153">
              <a:extLst>
                <a:ext uri="{FF2B5EF4-FFF2-40B4-BE49-F238E27FC236}">
                  <a16:creationId xmlns:a16="http://schemas.microsoft.com/office/drawing/2014/main" id="{03892876-17FC-577D-EF4D-B7044C8C964F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55" name="Gráfico 154">
              <a:extLst>
                <a:ext uri="{FF2B5EF4-FFF2-40B4-BE49-F238E27FC236}">
                  <a16:creationId xmlns:a16="http://schemas.microsoft.com/office/drawing/2014/main" id="{9AF50147-D4BA-D2FE-3F51-28DCA99E3544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153" name="Retângulo: Cantos Superiores Arredondados 152">
            <a:extLst>
              <a:ext uri="{FF2B5EF4-FFF2-40B4-BE49-F238E27FC236}">
                <a16:creationId xmlns:a16="http://schemas.microsoft.com/office/drawing/2014/main" id="{241BD680-62E9-7677-2DF5-7EA40574D6C6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s="23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s="23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s="23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6E8C3-C73E-4F47-9E12-7D381F550CFB}">
  <dimension ref="A1:M99"/>
  <sheetViews>
    <sheetView workbookViewId="0">
      <selection activeCell="E1" sqref="E1"/>
    </sheetView>
  </sheetViews>
  <sheetFormatPr defaultRowHeight="15" x14ac:dyDescent="0.25"/>
  <cols>
    <col min="1" max="1" width="12.7109375" bestFit="1" customWidth="1"/>
    <col min="2" max="2" width="18.85546875" bestFit="1" customWidth="1"/>
    <col min="3" max="3" width="8.42578125" bestFit="1" customWidth="1"/>
    <col min="4" max="4" width="10.42578125" bestFit="1" customWidth="1"/>
    <col min="5" max="5" width="12.85546875" bestFit="1" customWidth="1"/>
    <col min="6" max="6" width="17.28515625" bestFit="1" customWidth="1"/>
    <col min="7" max="7" width="16.7109375" bestFit="1" customWidth="1"/>
    <col min="8" max="8" width="19.140625" bestFit="1" customWidth="1"/>
    <col min="9" max="9" width="8.140625" bestFit="1" customWidth="1"/>
    <col min="10" max="10" width="21.140625" bestFit="1" customWidth="1"/>
    <col min="11" max="11" width="26.28515625" bestFit="1" customWidth="1"/>
    <col min="12" max="12" width="13.42578125" bestFit="1" customWidth="1"/>
    <col min="13" max="13" width="10.85546875" bestFit="1" customWidth="1"/>
  </cols>
  <sheetData>
    <row r="1" spans="1:13" ht="18" customHeight="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315</v>
      </c>
      <c r="G1" t="s">
        <v>16</v>
      </c>
      <c r="H1" t="s">
        <v>312</v>
      </c>
      <c r="I1" s="22" t="s">
        <v>313</v>
      </c>
      <c r="J1" t="s">
        <v>30</v>
      </c>
      <c r="K1" t="s">
        <v>31</v>
      </c>
      <c r="L1" t="s">
        <v>32</v>
      </c>
      <c r="M1" t="s">
        <v>33</v>
      </c>
    </row>
    <row r="2" spans="1:13" x14ac:dyDescent="0.25">
      <c r="A2">
        <v>3231</v>
      </c>
      <c r="B2" t="s">
        <v>17</v>
      </c>
      <c r="C2" t="s">
        <v>18</v>
      </c>
      <c r="D2" s="21">
        <v>45292</v>
      </c>
      <c r="E2" t="s">
        <v>19</v>
      </c>
      <c r="F2" s="24">
        <v>15</v>
      </c>
      <c r="G2" t="s">
        <v>20</v>
      </c>
      <c r="H2" t="s">
        <v>19</v>
      </c>
      <c r="I2" s="24">
        <v>30</v>
      </c>
      <c r="J2" t="s">
        <v>19</v>
      </c>
      <c r="K2" s="24">
        <v>20</v>
      </c>
      <c r="L2" s="24">
        <v>5</v>
      </c>
      <c r="M2" s="24">
        <v>60</v>
      </c>
    </row>
    <row r="3" spans="1:13" x14ac:dyDescent="0.25">
      <c r="A3">
        <v>3234</v>
      </c>
      <c r="B3" t="s">
        <v>28</v>
      </c>
      <c r="C3" t="s">
        <v>18</v>
      </c>
      <c r="D3" s="21">
        <v>45342</v>
      </c>
      <c r="E3" t="s">
        <v>23</v>
      </c>
      <c r="F3" s="24">
        <v>15</v>
      </c>
      <c r="G3" t="s">
        <v>20</v>
      </c>
      <c r="H3" t="s">
        <v>19</v>
      </c>
      <c r="I3" s="24">
        <v>30</v>
      </c>
      <c r="J3" t="s">
        <v>19</v>
      </c>
      <c r="K3" s="24">
        <v>20</v>
      </c>
      <c r="L3" s="24">
        <v>3</v>
      </c>
      <c r="M3" s="24">
        <v>62</v>
      </c>
    </row>
    <row r="4" spans="1:13" x14ac:dyDescent="0.25">
      <c r="A4">
        <v>3237</v>
      </c>
      <c r="B4" t="s">
        <v>35</v>
      </c>
      <c r="C4" t="s">
        <v>18</v>
      </c>
      <c r="D4" s="21">
        <v>45354</v>
      </c>
      <c r="E4" t="s">
        <v>19</v>
      </c>
      <c r="F4" s="24">
        <v>15</v>
      </c>
      <c r="G4" t="s">
        <v>27</v>
      </c>
      <c r="H4" t="s">
        <v>19</v>
      </c>
      <c r="I4" s="24">
        <v>30</v>
      </c>
      <c r="J4" t="s">
        <v>19</v>
      </c>
      <c r="K4" s="24">
        <v>20</v>
      </c>
      <c r="L4" s="24">
        <v>10</v>
      </c>
      <c r="M4" s="24">
        <v>55</v>
      </c>
    </row>
    <row r="5" spans="1:13" x14ac:dyDescent="0.25">
      <c r="A5">
        <v>3239</v>
      </c>
      <c r="B5" t="s">
        <v>37</v>
      </c>
      <c r="C5" t="s">
        <v>18</v>
      </c>
      <c r="D5" s="21">
        <v>45356</v>
      </c>
      <c r="E5" t="s">
        <v>23</v>
      </c>
      <c r="F5" s="24">
        <v>15</v>
      </c>
      <c r="G5" t="s">
        <v>20</v>
      </c>
      <c r="H5" t="s">
        <v>19</v>
      </c>
      <c r="I5" s="24">
        <v>30</v>
      </c>
      <c r="J5" t="s">
        <v>19</v>
      </c>
      <c r="K5" s="24">
        <v>20</v>
      </c>
      <c r="L5" s="24">
        <v>5</v>
      </c>
      <c r="M5" s="24">
        <v>60</v>
      </c>
    </row>
    <row r="6" spans="1:13" x14ac:dyDescent="0.25">
      <c r="A6">
        <v>3242</v>
      </c>
      <c r="B6" t="s">
        <v>40</v>
      </c>
      <c r="C6" t="s">
        <v>18</v>
      </c>
      <c r="D6" s="21">
        <v>45359</v>
      </c>
      <c r="E6" t="s">
        <v>19</v>
      </c>
      <c r="F6" s="24">
        <v>15</v>
      </c>
      <c r="G6" t="s">
        <v>24</v>
      </c>
      <c r="H6" t="s">
        <v>19</v>
      </c>
      <c r="I6" s="24">
        <v>30</v>
      </c>
      <c r="J6" t="s">
        <v>19</v>
      </c>
      <c r="K6" s="24">
        <v>20</v>
      </c>
      <c r="L6" s="24">
        <v>20</v>
      </c>
      <c r="M6" s="24">
        <v>45</v>
      </c>
    </row>
    <row r="7" spans="1:13" x14ac:dyDescent="0.25">
      <c r="A7">
        <v>3245</v>
      </c>
      <c r="B7" t="s">
        <v>43</v>
      </c>
      <c r="C7" t="s">
        <v>18</v>
      </c>
      <c r="D7" s="21">
        <v>45362</v>
      </c>
      <c r="E7" t="s">
        <v>23</v>
      </c>
      <c r="F7" s="24">
        <v>15</v>
      </c>
      <c r="G7" t="s">
        <v>20</v>
      </c>
      <c r="H7" t="s">
        <v>19</v>
      </c>
      <c r="I7" s="24">
        <v>30</v>
      </c>
      <c r="J7" t="s">
        <v>19</v>
      </c>
      <c r="K7" s="24">
        <v>20</v>
      </c>
      <c r="L7" s="24">
        <v>8</v>
      </c>
      <c r="M7" s="24">
        <v>57</v>
      </c>
    </row>
    <row r="8" spans="1:13" x14ac:dyDescent="0.25">
      <c r="A8">
        <v>3248</v>
      </c>
      <c r="B8" t="s">
        <v>46</v>
      </c>
      <c r="C8" t="s">
        <v>18</v>
      </c>
      <c r="D8" s="21">
        <v>45365</v>
      </c>
      <c r="E8" t="s">
        <v>19</v>
      </c>
      <c r="F8" s="24">
        <v>15</v>
      </c>
      <c r="G8" t="s">
        <v>27</v>
      </c>
      <c r="H8" t="s">
        <v>19</v>
      </c>
      <c r="I8" s="24">
        <v>30</v>
      </c>
      <c r="J8" t="s">
        <v>19</v>
      </c>
      <c r="K8" s="24">
        <v>20</v>
      </c>
      <c r="L8" s="24">
        <v>7</v>
      </c>
      <c r="M8" s="24">
        <v>58</v>
      </c>
    </row>
    <row r="9" spans="1:13" x14ac:dyDescent="0.25">
      <c r="A9">
        <v>3251</v>
      </c>
      <c r="B9" t="s">
        <v>49</v>
      </c>
      <c r="C9" t="s">
        <v>18</v>
      </c>
      <c r="D9" s="21">
        <v>45368</v>
      </c>
      <c r="E9" t="s">
        <v>23</v>
      </c>
      <c r="F9" s="24">
        <v>15</v>
      </c>
      <c r="G9" t="s">
        <v>20</v>
      </c>
      <c r="H9" t="s">
        <v>19</v>
      </c>
      <c r="I9" s="24">
        <v>30</v>
      </c>
      <c r="J9" t="s">
        <v>19</v>
      </c>
      <c r="K9" s="24">
        <v>20</v>
      </c>
      <c r="L9" s="24">
        <v>3</v>
      </c>
      <c r="M9" s="24">
        <v>62</v>
      </c>
    </row>
    <row r="10" spans="1:13" x14ac:dyDescent="0.25">
      <c r="A10">
        <v>3254</v>
      </c>
      <c r="B10" t="s">
        <v>52</v>
      </c>
      <c r="C10" t="s">
        <v>18</v>
      </c>
      <c r="D10" s="21">
        <v>45371</v>
      </c>
      <c r="E10" t="s">
        <v>19</v>
      </c>
      <c r="F10" s="24">
        <v>15</v>
      </c>
      <c r="G10" t="s">
        <v>24</v>
      </c>
      <c r="H10" t="s">
        <v>19</v>
      </c>
      <c r="I10" s="24">
        <v>30</v>
      </c>
      <c r="J10" t="s">
        <v>19</v>
      </c>
      <c r="K10" s="24">
        <v>20</v>
      </c>
      <c r="L10" s="24">
        <v>20</v>
      </c>
      <c r="M10" s="24">
        <v>45</v>
      </c>
    </row>
    <row r="11" spans="1:13" x14ac:dyDescent="0.25">
      <c r="A11">
        <v>3257</v>
      </c>
      <c r="B11" t="s">
        <v>55</v>
      </c>
      <c r="C11" t="s">
        <v>18</v>
      </c>
      <c r="D11" s="21">
        <v>45374</v>
      </c>
      <c r="E11" t="s">
        <v>23</v>
      </c>
      <c r="F11" s="24">
        <v>15</v>
      </c>
      <c r="G11" t="s">
        <v>20</v>
      </c>
      <c r="H11" t="s">
        <v>19</v>
      </c>
      <c r="I11" s="24">
        <v>30</v>
      </c>
      <c r="J11" t="s">
        <v>19</v>
      </c>
      <c r="K11" s="24">
        <v>20</v>
      </c>
      <c r="L11" s="24">
        <v>5</v>
      </c>
      <c r="M11" s="24">
        <v>60</v>
      </c>
    </row>
    <row r="12" spans="1:13" x14ac:dyDescent="0.25">
      <c r="A12">
        <v>3260</v>
      </c>
      <c r="B12" t="s">
        <v>58</v>
      </c>
      <c r="C12" t="s">
        <v>18</v>
      </c>
      <c r="D12" s="21">
        <v>45377</v>
      </c>
      <c r="E12" t="s">
        <v>19</v>
      </c>
      <c r="F12" s="24">
        <v>15</v>
      </c>
      <c r="G12" t="s">
        <v>27</v>
      </c>
      <c r="H12" t="s">
        <v>19</v>
      </c>
      <c r="I12" s="24">
        <v>30</v>
      </c>
      <c r="J12" t="s">
        <v>19</v>
      </c>
      <c r="K12" s="24">
        <v>20</v>
      </c>
      <c r="L12" s="24">
        <v>7</v>
      </c>
      <c r="M12" s="24">
        <v>58</v>
      </c>
    </row>
    <row r="13" spans="1:13" x14ac:dyDescent="0.25">
      <c r="A13">
        <v>3263</v>
      </c>
      <c r="B13" t="s">
        <v>61</v>
      </c>
      <c r="C13" t="s">
        <v>18</v>
      </c>
      <c r="D13" s="21">
        <v>45380</v>
      </c>
      <c r="E13" t="s">
        <v>23</v>
      </c>
      <c r="F13" s="24">
        <v>15</v>
      </c>
      <c r="G13" t="s">
        <v>20</v>
      </c>
      <c r="H13" t="s">
        <v>19</v>
      </c>
      <c r="I13" s="24">
        <v>30</v>
      </c>
      <c r="J13" t="s">
        <v>19</v>
      </c>
      <c r="K13" s="24">
        <v>20</v>
      </c>
      <c r="L13" s="24">
        <v>3</v>
      </c>
      <c r="M13" s="24">
        <v>62</v>
      </c>
    </row>
    <row r="14" spans="1:13" x14ac:dyDescent="0.25">
      <c r="A14">
        <v>3267</v>
      </c>
      <c r="B14" t="s">
        <v>65</v>
      </c>
      <c r="C14" t="s">
        <v>18</v>
      </c>
      <c r="D14" s="21">
        <v>45384</v>
      </c>
      <c r="E14" t="s">
        <v>23</v>
      </c>
      <c r="F14" s="24">
        <v>15</v>
      </c>
      <c r="G14" t="s">
        <v>27</v>
      </c>
      <c r="H14" t="s">
        <v>19</v>
      </c>
      <c r="I14" s="24">
        <v>30</v>
      </c>
      <c r="J14" t="s">
        <v>19</v>
      </c>
      <c r="K14" s="24">
        <v>20</v>
      </c>
      <c r="L14" s="24">
        <v>7</v>
      </c>
      <c r="M14" s="24">
        <v>58</v>
      </c>
    </row>
    <row r="15" spans="1:13" x14ac:dyDescent="0.25">
      <c r="A15">
        <v>3270</v>
      </c>
      <c r="B15" t="s">
        <v>68</v>
      </c>
      <c r="C15" t="s">
        <v>18</v>
      </c>
      <c r="D15" s="21">
        <v>45387</v>
      </c>
      <c r="E15" t="s">
        <v>19</v>
      </c>
      <c r="F15" s="24">
        <v>15</v>
      </c>
      <c r="G15" t="s">
        <v>20</v>
      </c>
      <c r="H15" t="s">
        <v>19</v>
      </c>
      <c r="I15" s="24">
        <v>30</v>
      </c>
      <c r="J15" t="s">
        <v>19</v>
      </c>
      <c r="K15" s="24">
        <v>20</v>
      </c>
      <c r="L15" s="24">
        <v>15</v>
      </c>
      <c r="M15" s="24">
        <v>50</v>
      </c>
    </row>
    <row r="16" spans="1:13" x14ac:dyDescent="0.25">
      <c r="A16">
        <v>3273</v>
      </c>
      <c r="B16" t="s">
        <v>71</v>
      </c>
      <c r="C16" t="s">
        <v>18</v>
      </c>
      <c r="D16" s="21">
        <v>45390</v>
      </c>
      <c r="E16" t="s">
        <v>23</v>
      </c>
      <c r="F16" s="24">
        <v>15</v>
      </c>
      <c r="G16" t="s">
        <v>27</v>
      </c>
      <c r="H16" t="s">
        <v>19</v>
      </c>
      <c r="I16" s="24">
        <v>30</v>
      </c>
      <c r="J16" t="s">
        <v>19</v>
      </c>
      <c r="K16" s="24">
        <v>20</v>
      </c>
      <c r="L16" s="24">
        <v>20</v>
      </c>
      <c r="M16" s="24">
        <v>45</v>
      </c>
    </row>
    <row r="17" spans="1:13" x14ac:dyDescent="0.25">
      <c r="A17">
        <v>3276</v>
      </c>
      <c r="B17" t="s">
        <v>74</v>
      </c>
      <c r="C17" t="s">
        <v>18</v>
      </c>
      <c r="D17" s="21">
        <v>45393</v>
      </c>
      <c r="E17" t="s">
        <v>19</v>
      </c>
      <c r="F17" s="24">
        <v>15</v>
      </c>
      <c r="G17" t="s">
        <v>24</v>
      </c>
      <c r="H17" t="s">
        <v>19</v>
      </c>
      <c r="I17" s="24">
        <v>30</v>
      </c>
      <c r="J17" t="s">
        <v>19</v>
      </c>
      <c r="K17" s="24">
        <v>20</v>
      </c>
      <c r="L17" s="24">
        <v>5</v>
      </c>
      <c r="M17" s="24">
        <v>60</v>
      </c>
    </row>
    <row r="18" spans="1:13" x14ac:dyDescent="0.25">
      <c r="A18">
        <v>3279</v>
      </c>
      <c r="B18" t="s">
        <v>77</v>
      </c>
      <c r="C18" t="s">
        <v>18</v>
      </c>
      <c r="D18" s="21">
        <v>45396</v>
      </c>
      <c r="E18" t="s">
        <v>23</v>
      </c>
      <c r="F18" s="24">
        <v>15</v>
      </c>
      <c r="G18" t="s">
        <v>20</v>
      </c>
      <c r="H18" t="s">
        <v>19</v>
      </c>
      <c r="I18" s="24">
        <v>30</v>
      </c>
      <c r="J18" t="s">
        <v>19</v>
      </c>
      <c r="K18" s="24">
        <v>20</v>
      </c>
      <c r="L18" s="24">
        <v>3</v>
      </c>
      <c r="M18" s="24">
        <v>62</v>
      </c>
    </row>
    <row r="19" spans="1:13" x14ac:dyDescent="0.25">
      <c r="A19">
        <v>3282</v>
      </c>
      <c r="B19" t="s">
        <v>80</v>
      </c>
      <c r="C19" t="s">
        <v>18</v>
      </c>
      <c r="D19" s="21">
        <v>45399</v>
      </c>
      <c r="E19" t="s">
        <v>19</v>
      </c>
      <c r="F19" s="24">
        <v>15</v>
      </c>
      <c r="G19" t="s">
        <v>27</v>
      </c>
      <c r="H19" t="s">
        <v>19</v>
      </c>
      <c r="I19" s="24">
        <v>30</v>
      </c>
      <c r="J19" t="s">
        <v>19</v>
      </c>
      <c r="K19" s="24">
        <v>20</v>
      </c>
      <c r="L19" s="24">
        <v>7</v>
      </c>
      <c r="M19" s="24">
        <v>58</v>
      </c>
    </row>
    <row r="20" spans="1:13" x14ac:dyDescent="0.25">
      <c r="A20">
        <v>3285</v>
      </c>
      <c r="B20" t="s">
        <v>83</v>
      </c>
      <c r="C20" t="s">
        <v>18</v>
      </c>
      <c r="D20" s="21">
        <v>45402</v>
      </c>
      <c r="E20" t="s">
        <v>23</v>
      </c>
      <c r="F20" s="24">
        <v>15</v>
      </c>
      <c r="G20" t="s">
        <v>20</v>
      </c>
      <c r="H20" t="s">
        <v>19</v>
      </c>
      <c r="I20" s="24">
        <v>30</v>
      </c>
      <c r="J20" t="s">
        <v>19</v>
      </c>
      <c r="K20" s="24">
        <v>20</v>
      </c>
      <c r="L20" s="24">
        <v>20</v>
      </c>
      <c r="M20" s="24">
        <v>45</v>
      </c>
    </row>
    <row r="21" spans="1:13" x14ac:dyDescent="0.25">
      <c r="A21">
        <v>3288</v>
      </c>
      <c r="B21" t="s">
        <v>86</v>
      </c>
      <c r="C21" t="s">
        <v>18</v>
      </c>
      <c r="D21" s="21">
        <v>45405</v>
      </c>
      <c r="E21" t="s">
        <v>19</v>
      </c>
      <c r="F21" s="24">
        <v>15</v>
      </c>
      <c r="G21" t="s">
        <v>24</v>
      </c>
      <c r="H21" t="s">
        <v>19</v>
      </c>
      <c r="I21" s="24">
        <v>30</v>
      </c>
      <c r="J21" t="s">
        <v>19</v>
      </c>
      <c r="K21" s="24">
        <v>20</v>
      </c>
      <c r="L21" s="24">
        <v>3</v>
      </c>
      <c r="M21" s="24">
        <v>62</v>
      </c>
    </row>
    <row r="22" spans="1:13" x14ac:dyDescent="0.25">
      <c r="A22">
        <v>3291</v>
      </c>
      <c r="B22" t="s">
        <v>89</v>
      </c>
      <c r="C22" t="s">
        <v>18</v>
      </c>
      <c r="D22" s="21">
        <v>45408</v>
      </c>
      <c r="E22" t="s">
        <v>23</v>
      </c>
      <c r="F22" s="24">
        <v>15</v>
      </c>
      <c r="G22" t="s">
        <v>20</v>
      </c>
      <c r="H22" t="s">
        <v>19</v>
      </c>
      <c r="I22" s="24">
        <v>30</v>
      </c>
      <c r="J22" t="s">
        <v>19</v>
      </c>
      <c r="K22" s="24">
        <v>20</v>
      </c>
      <c r="L22" s="24">
        <v>5</v>
      </c>
      <c r="M22" s="24">
        <v>60</v>
      </c>
    </row>
    <row r="23" spans="1:13" x14ac:dyDescent="0.25">
      <c r="A23">
        <v>3294</v>
      </c>
      <c r="B23" t="s">
        <v>92</v>
      </c>
      <c r="C23" t="s">
        <v>18</v>
      </c>
      <c r="D23" s="21">
        <v>45411</v>
      </c>
      <c r="E23" t="s">
        <v>19</v>
      </c>
      <c r="F23" s="24">
        <v>15</v>
      </c>
      <c r="G23" t="s">
        <v>27</v>
      </c>
      <c r="H23" t="s">
        <v>19</v>
      </c>
      <c r="I23" s="24">
        <v>30</v>
      </c>
      <c r="J23" t="s">
        <v>19</v>
      </c>
      <c r="K23" s="24">
        <v>20</v>
      </c>
      <c r="L23" s="24">
        <v>20</v>
      </c>
      <c r="M23" s="24">
        <v>45</v>
      </c>
    </row>
    <row r="24" spans="1:13" x14ac:dyDescent="0.25">
      <c r="A24">
        <v>3297</v>
      </c>
      <c r="B24" t="s">
        <v>95</v>
      </c>
      <c r="C24" t="s">
        <v>18</v>
      </c>
      <c r="D24" s="21">
        <v>45414</v>
      </c>
      <c r="E24" t="s">
        <v>19</v>
      </c>
      <c r="F24" s="24">
        <v>15</v>
      </c>
      <c r="G24" t="s">
        <v>27</v>
      </c>
      <c r="H24" t="s">
        <v>19</v>
      </c>
      <c r="I24" s="24">
        <v>30</v>
      </c>
      <c r="J24" t="s">
        <v>19</v>
      </c>
      <c r="K24" s="24">
        <v>20</v>
      </c>
      <c r="L24" s="24">
        <v>7</v>
      </c>
      <c r="M24" s="24">
        <v>58</v>
      </c>
    </row>
    <row r="25" spans="1:13" x14ac:dyDescent="0.25">
      <c r="A25">
        <v>3300</v>
      </c>
      <c r="B25" t="s">
        <v>98</v>
      </c>
      <c r="C25" t="s">
        <v>18</v>
      </c>
      <c r="D25" s="21">
        <v>45417</v>
      </c>
      <c r="E25" t="s">
        <v>23</v>
      </c>
      <c r="F25" s="24">
        <v>15</v>
      </c>
      <c r="G25" t="s">
        <v>20</v>
      </c>
      <c r="H25" t="s">
        <v>19</v>
      </c>
      <c r="I25" s="24">
        <v>30</v>
      </c>
      <c r="J25" t="s">
        <v>19</v>
      </c>
      <c r="K25" s="24">
        <v>20</v>
      </c>
      <c r="L25" s="24">
        <v>15</v>
      </c>
      <c r="M25" s="24">
        <v>50</v>
      </c>
    </row>
    <row r="26" spans="1:13" x14ac:dyDescent="0.25">
      <c r="A26">
        <v>3303</v>
      </c>
      <c r="B26" t="s">
        <v>101</v>
      </c>
      <c r="C26" t="s">
        <v>18</v>
      </c>
      <c r="D26" s="21">
        <v>45420</v>
      </c>
      <c r="E26" t="s">
        <v>19</v>
      </c>
      <c r="F26" s="24">
        <v>15</v>
      </c>
      <c r="G26" t="s">
        <v>27</v>
      </c>
      <c r="H26" t="s">
        <v>19</v>
      </c>
      <c r="I26" s="24">
        <v>30</v>
      </c>
      <c r="J26" t="s">
        <v>19</v>
      </c>
      <c r="K26" s="24">
        <v>20</v>
      </c>
      <c r="L26" s="24">
        <v>20</v>
      </c>
      <c r="M26" s="24">
        <v>45</v>
      </c>
    </row>
    <row r="27" spans="1:13" x14ac:dyDescent="0.25">
      <c r="A27">
        <v>3306</v>
      </c>
      <c r="B27" t="s">
        <v>104</v>
      </c>
      <c r="C27" t="s">
        <v>18</v>
      </c>
      <c r="D27" s="21">
        <v>45423</v>
      </c>
      <c r="E27" t="s">
        <v>23</v>
      </c>
      <c r="F27" s="24">
        <v>15</v>
      </c>
      <c r="G27" t="s">
        <v>24</v>
      </c>
      <c r="H27" t="s">
        <v>19</v>
      </c>
      <c r="I27" s="24">
        <v>30</v>
      </c>
      <c r="J27" t="s">
        <v>19</v>
      </c>
      <c r="K27" s="24">
        <v>20</v>
      </c>
      <c r="L27" s="24">
        <v>5</v>
      </c>
      <c r="M27" s="24">
        <v>60</v>
      </c>
    </row>
    <row r="28" spans="1:13" x14ac:dyDescent="0.25">
      <c r="A28">
        <v>3309</v>
      </c>
      <c r="B28" t="s">
        <v>107</v>
      </c>
      <c r="C28" t="s">
        <v>18</v>
      </c>
      <c r="D28" s="21">
        <v>45426</v>
      </c>
      <c r="E28" t="s">
        <v>19</v>
      </c>
      <c r="F28" s="24">
        <v>15</v>
      </c>
      <c r="G28" t="s">
        <v>20</v>
      </c>
      <c r="H28" t="s">
        <v>19</v>
      </c>
      <c r="I28" s="24">
        <v>30</v>
      </c>
      <c r="J28" t="s">
        <v>19</v>
      </c>
      <c r="K28" s="24">
        <v>20</v>
      </c>
      <c r="L28" s="24">
        <v>3</v>
      </c>
      <c r="M28" s="24">
        <v>62</v>
      </c>
    </row>
    <row r="29" spans="1:13" x14ac:dyDescent="0.25">
      <c r="A29">
        <v>3312</v>
      </c>
      <c r="B29" t="s">
        <v>110</v>
      </c>
      <c r="C29" t="s">
        <v>18</v>
      </c>
      <c r="D29" s="21">
        <v>45429</v>
      </c>
      <c r="E29" t="s">
        <v>23</v>
      </c>
      <c r="F29" s="24">
        <v>15</v>
      </c>
      <c r="G29" t="s">
        <v>27</v>
      </c>
      <c r="H29" t="s">
        <v>19</v>
      </c>
      <c r="I29" s="24">
        <v>30</v>
      </c>
      <c r="J29" t="s">
        <v>19</v>
      </c>
      <c r="K29" s="24">
        <v>20</v>
      </c>
      <c r="L29" s="24">
        <v>7</v>
      </c>
      <c r="M29" s="24">
        <v>58</v>
      </c>
    </row>
    <row r="30" spans="1:13" x14ac:dyDescent="0.25">
      <c r="A30">
        <v>3315</v>
      </c>
      <c r="B30" t="s">
        <v>113</v>
      </c>
      <c r="C30" t="s">
        <v>18</v>
      </c>
      <c r="D30" s="21">
        <v>45432</v>
      </c>
      <c r="E30" t="s">
        <v>19</v>
      </c>
      <c r="F30" s="24">
        <v>15</v>
      </c>
      <c r="G30" t="s">
        <v>20</v>
      </c>
      <c r="H30" t="s">
        <v>19</v>
      </c>
      <c r="I30" s="24">
        <v>30</v>
      </c>
      <c r="J30" t="s">
        <v>19</v>
      </c>
      <c r="K30" s="24">
        <v>20</v>
      </c>
      <c r="L30" s="24">
        <v>20</v>
      </c>
      <c r="M30" s="24">
        <v>45</v>
      </c>
    </row>
    <row r="31" spans="1:13" x14ac:dyDescent="0.25">
      <c r="A31">
        <v>3318</v>
      </c>
      <c r="B31" t="s">
        <v>116</v>
      </c>
      <c r="C31" t="s">
        <v>18</v>
      </c>
      <c r="D31" s="21">
        <v>45435</v>
      </c>
      <c r="E31" t="s">
        <v>23</v>
      </c>
      <c r="F31" s="24">
        <v>15</v>
      </c>
      <c r="G31" t="s">
        <v>24</v>
      </c>
      <c r="H31" t="s">
        <v>19</v>
      </c>
      <c r="I31" s="24">
        <v>30</v>
      </c>
      <c r="J31" t="s">
        <v>19</v>
      </c>
      <c r="K31" s="24">
        <v>20</v>
      </c>
      <c r="L31" s="24">
        <v>3</v>
      </c>
      <c r="M31" s="24">
        <v>62</v>
      </c>
    </row>
    <row r="32" spans="1:13" x14ac:dyDescent="0.25">
      <c r="A32">
        <v>3321</v>
      </c>
      <c r="B32" t="s">
        <v>119</v>
      </c>
      <c r="C32" t="s">
        <v>18</v>
      </c>
      <c r="D32" s="21">
        <v>45438</v>
      </c>
      <c r="E32" t="s">
        <v>19</v>
      </c>
      <c r="F32" s="24">
        <v>15</v>
      </c>
      <c r="G32" t="s">
        <v>20</v>
      </c>
      <c r="H32" t="s">
        <v>19</v>
      </c>
      <c r="I32" s="24">
        <v>30</v>
      </c>
      <c r="J32" t="s">
        <v>19</v>
      </c>
      <c r="K32" s="24">
        <v>20</v>
      </c>
      <c r="L32" s="24">
        <v>5</v>
      </c>
      <c r="M32" s="24">
        <v>60</v>
      </c>
    </row>
    <row r="33" spans="1:13" x14ac:dyDescent="0.25">
      <c r="A33">
        <v>3324</v>
      </c>
      <c r="B33" t="s">
        <v>122</v>
      </c>
      <c r="C33" t="s">
        <v>18</v>
      </c>
      <c r="D33" s="21">
        <v>45441</v>
      </c>
      <c r="E33" t="s">
        <v>23</v>
      </c>
      <c r="F33" s="24">
        <v>15</v>
      </c>
      <c r="G33" t="s">
        <v>27</v>
      </c>
      <c r="H33" t="s">
        <v>19</v>
      </c>
      <c r="I33" s="24">
        <v>30</v>
      </c>
      <c r="J33" t="s">
        <v>19</v>
      </c>
      <c r="K33" s="24">
        <v>20</v>
      </c>
      <c r="L33" s="24">
        <v>20</v>
      </c>
      <c r="M33" s="24">
        <v>45</v>
      </c>
    </row>
    <row r="34" spans="1:13" x14ac:dyDescent="0.25">
      <c r="A34">
        <v>3327</v>
      </c>
      <c r="B34" t="s">
        <v>125</v>
      </c>
      <c r="C34" t="s">
        <v>18</v>
      </c>
      <c r="D34" s="21">
        <v>45444</v>
      </c>
      <c r="E34" t="s">
        <v>19</v>
      </c>
      <c r="F34" s="24">
        <v>15</v>
      </c>
      <c r="G34" t="s">
        <v>20</v>
      </c>
      <c r="H34" t="s">
        <v>19</v>
      </c>
      <c r="I34" s="24">
        <v>30</v>
      </c>
      <c r="J34" t="s">
        <v>19</v>
      </c>
      <c r="K34" s="24">
        <v>20</v>
      </c>
      <c r="L34" s="24">
        <v>7</v>
      </c>
      <c r="M34" s="24">
        <v>58</v>
      </c>
    </row>
    <row r="35" spans="1:13" x14ac:dyDescent="0.25">
      <c r="A35">
        <v>3330</v>
      </c>
      <c r="B35" t="s">
        <v>128</v>
      </c>
      <c r="C35" t="s">
        <v>18</v>
      </c>
      <c r="D35" s="21">
        <v>45447</v>
      </c>
      <c r="E35" t="s">
        <v>23</v>
      </c>
      <c r="F35" s="24">
        <v>15</v>
      </c>
      <c r="G35" t="s">
        <v>20</v>
      </c>
      <c r="H35" t="s">
        <v>19</v>
      </c>
      <c r="I35" s="24">
        <v>30</v>
      </c>
      <c r="J35" t="s">
        <v>19</v>
      </c>
      <c r="K35" s="24">
        <v>20</v>
      </c>
      <c r="L35" s="24">
        <v>15</v>
      </c>
      <c r="M35" s="24">
        <v>50</v>
      </c>
    </row>
    <row r="36" spans="1:13" x14ac:dyDescent="0.25">
      <c r="A36">
        <v>3333</v>
      </c>
      <c r="B36" t="s">
        <v>131</v>
      </c>
      <c r="C36" t="s">
        <v>18</v>
      </c>
      <c r="D36" s="21">
        <v>45450</v>
      </c>
      <c r="E36" t="s">
        <v>19</v>
      </c>
      <c r="F36" s="24">
        <v>15</v>
      </c>
      <c r="G36" t="s">
        <v>27</v>
      </c>
      <c r="H36" t="s">
        <v>19</v>
      </c>
      <c r="I36" s="24">
        <v>30</v>
      </c>
      <c r="J36" t="s">
        <v>19</v>
      </c>
      <c r="K36" s="24">
        <v>20</v>
      </c>
      <c r="L36" s="24">
        <v>20</v>
      </c>
      <c r="M36" s="24">
        <v>45</v>
      </c>
    </row>
    <row r="37" spans="1:13" x14ac:dyDescent="0.25">
      <c r="A37">
        <v>3337</v>
      </c>
      <c r="B37" t="s">
        <v>135</v>
      </c>
      <c r="C37" t="s">
        <v>18</v>
      </c>
      <c r="D37" s="21">
        <v>45454</v>
      </c>
      <c r="E37" t="s">
        <v>23</v>
      </c>
      <c r="F37" s="24">
        <v>15</v>
      </c>
      <c r="G37" t="s">
        <v>27</v>
      </c>
      <c r="H37" t="s">
        <v>19</v>
      </c>
      <c r="I37" s="24">
        <v>30</v>
      </c>
      <c r="J37" t="s">
        <v>19</v>
      </c>
      <c r="K37" s="24">
        <v>20</v>
      </c>
      <c r="L37" s="24">
        <v>7</v>
      </c>
      <c r="M37" s="24">
        <v>58</v>
      </c>
    </row>
    <row r="38" spans="1:13" x14ac:dyDescent="0.25">
      <c r="A38">
        <v>3340</v>
      </c>
      <c r="B38" t="s">
        <v>138</v>
      </c>
      <c r="C38" t="s">
        <v>18</v>
      </c>
      <c r="D38" s="21">
        <v>45457</v>
      </c>
      <c r="E38" t="s">
        <v>19</v>
      </c>
      <c r="F38" s="24">
        <v>15</v>
      </c>
      <c r="G38" t="s">
        <v>20</v>
      </c>
      <c r="H38" t="s">
        <v>19</v>
      </c>
      <c r="I38" s="24">
        <v>30</v>
      </c>
      <c r="J38" t="s">
        <v>19</v>
      </c>
      <c r="K38" s="24">
        <v>20</v>
      </c>
      <c r="L38" s="24">
        <v>15</v>
      </c>
      <c r="M38" s="24">
        <v>50</v>
      </c>
    </row>
    <row r="39" spans="1:13" x14ac:dyDescent="0.25">
      <c r="A39">
        <v>3343</v>
      </c>
      <c r="B39" t="s">
        <v>141</v>
      </c>
      <c r="C39" t="s">
        <v>18</v>
      </c>
      <c r="D39" s="21">
        <v>45460</v>
      </c>
      <c r="E39" t="s">
        <v>23</v>
      </c>
      <c r="F39" s="24">
        <v>15</v>
      </c>
      <c r="G39" t="s">
        <v>27</v>
      </c>
      <c r="H39" t="s">
        <v>19</v>
      </c>
      <c r="I39" s="24">
        <v>30</v>
      </c>
      <c r="J39" t="s">
        <v>19</v>
      </c>
      <c r="K39" s="24">
        <v>20</v>
      </c>
      <c r="L39" s="24">
        <v>20</v>
      </c>
      <c r="M39" s="24">
        <v>45</v>
      </c>
    </row>
    <row r="40" spans="1:13" x14ac:dyDescent="0.25">
      <c r="A40">
        <v>3346</v>
      </c>
      <c r="B40" t="s">
        <v>144</v>
      </c>
      <c r="C40" t="s">
        <v>18</v>
      </c>
      <c r="D40" s="21">
        <v>45463</v>
      </c>
      <c r="E40" t="s">
        <v>19</v>
      </c>
      <c r="F40" s="24">
        <v>15</v>
      </c>
      <c r="G40" t="s">
        <v>24</v>
      </c>
      <c r="H40" t="s">
        <v>19</v>
      </c>
      <c r="I40" s="24">
        <v>30</v>
      </c>
      <c r="J40" t="s">
        <v>19</v>
      </c>
      <c r="K40" s="24">
        <v>20</v>
      </c>
      <c r="L40" s="24">
        <v>5</v>
      </c>
      <c r="M40" s="24">
        <v>60</v>
      </c>
    </row>
    <row r="41" spans="1:13" x14ac:dyDescent="0.25">
      <c r="A41">
        <v>3349</v>
      </c>
      <c r="B41" t="s">
        <v>122</v>
      </c>
      <c r="C41" t="s">
        <v>18</v>
      </c>
      <c r="D41" s="21">
        <v>45466</v>
      </c>
      <c r="E41" t="s">
        <v>23</v>
      </c>
      <c r="F41" s="24">
        <v>15</v>
      </c>
      <c r="G41" t="s">
        <v>20</v>
      </c>
      <c r="H41" t="s">
        <v>19</v>
      </c>
      <c r="I41" s="24">
        <v>30</v>
      </c>
      <c r="J41" t="s">
        <v>19</v>
      </c>
      <c r="K41" s="24">
        <v>20</v>
      </c>
      <c r="L41" s="24">
        <v>3</v>
      </c>
      <c r="M41" s="24">
        <v>62</v>
      </c>
    </row>
    <row r="42" spans="1:13" x14ac:dyDescent="0.25">
      <c r="A42">
        <v>3352</v>
      </c>
      <c r="B42" t="s">
        <v>149</v>
      </c>
      <c r="C42" t="s">
        <v>18</v>
      </c>
      <c r="D42" s="21">
        <v>45469</v>
      </c>
      <c r="E42" t="s">
        <v>19</v>
      </c>
      <c r="F42" s="24">
        <v>15</v>
      </c>
      <c r="G42" t="s">
        <v>27</v>
      </c>
      <c r="H42" t="s">
        <v>19</v>
      </c>
      <c r="I42" s="24">
        <v>30</v>
      </c>
      <c r="J42" t="s">
        <v>19</v>
      </c>
      <c r="K42" s="24">
        <v>20</v>
      </c>
      <c r="L42" s="24">
        <v>7</v>
      </c>
      <c r="M42" s="24">
        <v>58</v>
      </c>
    </row>
    <row r="43" spans="1:13" x14ac:dyDescent="0.25">
      <c r="A43">
        <v>3355</v>
      </c>
      <c r="B43" t="s">
        <v>152</v>
      </c>
      <c r="C43" t="s">
        <v>18</v>
      </c>
      <c r="D43" s="21">
        <v>45472</v>
      </c>
      <c r="E43" t="s">
        <v>23</v>
      </c>
      <c r="F43" s="24">
        <v>15</v>
      </c>
      <c r="G43" t="s">
        <v>20</v>
      </c>
      <c r="H43" t="s">
        <v>19</v>
      </c>
      <c r="I43" s="24">
        <v>30</v>
      </c>
      <c r="J43" t="s">
        <v>19</v>
      </c>
      <c r="K43" s="24">
        <v>20</v>
      </c>
      <c r="L43" s="24">
        <v>20</v>
      </c>
      <c r="M43" s="24">
        <v>45</v>
      </c>
    </row>
    <row r="44" spans="1:13" x14ac:dyDescent="0.25">
      <c r="A44">
        <v>3358</v>
      </c>
      <c r="B44" t="s">
        <v>155</v>
      </c>
      <c r="C44" t="s">
        <v>18</v>
      </c>
      <c r="D44" s="21">
        <v>45475</v>
      </c>
      <c r="E44" t="s">
        <v>19</v>
      </c>
      <c r="F44" s="24">
        <v>15</v>
      </c>
      <c r="G44" t="s">
        <v>24</v>
      </c>
      <c r="H44" t="s">
        <v>19</v>
      </c>
      <c r="I44" s="24">
        <v>30</v>
      </c>
      <c r="J44" t="s">
        <v>19</v>
      </c>
      <c r="K44" s="24">
        <v>20</v>
      </c>
      <c r="L44" s="24">
        <v>3</v>
      </c>
      <c r="M44" s="24">
        <v>62</v>
      </c>
    </row>
    <row r="45" spans="1:13" x14ac:dyDescent="0.25">
      <c r="A45">
        <v>3361</v>
      </c>
      <c r="B45" t="s">
        <v>158</v>
      </c>
      <c r="C45" t="s">
        <v>18</v>
      </c>
      <c r="D45" s="21">
        <v>45478</v>
      </c>
      <c r="E45" t="s">
        <v>23</v>
      </c>
      <c r="F45" s="24">
        <v>15</v>
      </c>
      <c r="G45" t="s">
        <v>20</v>
      </c>
      <c r="H45" t="s">
        <v>19</v>
      </c>
      <c r="I45" s="24">
        <v>30</v>
      </c>
      <c r="J45" t="s">
        <v>19</v>
      </c>
      <c r="K45" s="24">
        <v>20</v>
      </c>
      <c r="L45" s="24">
        <v>15</v>
      </c>
      <c r="M45" s="24">
        <v>50</v>
      </c>
    </row>
    <row r="46" spans="1:13" x14ac:dyDescent="0.25">
      <c r="A46">
        <v>3364</v>
      </c>
      <c r="B46" t="s">
        <v>161</v>
      </c>
      <c r="C46" t="s">
        <v>18</v>
      </c>
      <c r="D46" s="21">
        <v>45481</v>
      </c>
      <c r="E46" t="s">
        <v>19</v>
      </c>
      <c r="F46" s="24">
        <v>15</v>
      </c>
      <c r="G46" t="s">
        <v>27</v>
      </c>
      <c r="H46" t="s">
        <v>19</v>
      </c>
      <c r="I46" s="24">
        <v>30</v>
      </c>
      <c r="J46" t="s">
        <v>19</v>
      </c>
      <c r="K46" s="24">
        <v>20</v>
      </c>
      <c r="L46" s="24">
        <v>7</v>
      </c>
      <c r="M46" s="24">
        <v>58</v>
      </c>
    </row>
    <row r="47" spans="1:13" x14ac:dyDescent="0.25">
      <c r="A47">
        <v>3367</v>
      </c>
      <c r="B47" t="s">
        <v>164</v>
      </c>
      <c r="C47" t="s">
        <v>18</v>
      </c>
      <c r="D47" s="21">
        <v>45484</v>
      </c>
      <c r="E47" t="s">
        <v>23</v>
      </c>
      <c r="F47" s="24">
        <v>15</v>
      </c>
      <c r="G47" t="s">
        <v>27</v>
      </c>
      <c r="H47" t="s">
        <v>19</v>
      </c>
      <c r="I47" s="24">
        <v>30</v>
      </c>
      <c r="J47" t="s">
        <v>19</v>
      </c>
      <c r="K47" s="24">
        <v>20</v>
      </c>
      <c r="L47" s="24">
        <v>7</v>
      </c>
      <c r="M47" s="24">
        <v>58</v>
      </c>
    </row>
    <row r="48" spans="1:13" x14ac:dyDescent="0.25">
      <c r="A48">
        <v>3370</v>
      </c>
      <c r="B48" t="s">
        <v>167</v>
      </c>
      <c r="C48" t="s">
        <v>18</v>
      </c>
      <c r="D48" s="21">
        <v>45487</v>
      </c>
      <c r="E48" t="s">
        <v>19</v>
      </c>
      <c r="F48" s="24">
        <v>15</v>
      </c>
      <c r="G48" t="s">
        <v>20</v>
      </c>
      <c r="H48" t="s">
        <v>19</v>
      </c>
      <c r="I48" s="24">
        <v>30</v>
      </c>
      <c r="J48" t="s">
        <v>19</v>
      </c>
      <c r="K48" s="24">
        <v>20</v>
      </c>
      <c r="L48" s="24">
        <v>15</v>
      </c>
      <c r="M48" s="24">
        <v>50</v>
      </c>
    </row>
    <row r="49" spans="1:13" x14ac:dyDescent="0.25">
      <c r="A49">
        <v>3373</v>
      </c>
      <c r="B49" t="s">
        <v>170</v>
      </c>
      <c r="C49" t="s">
        <v>18</v>
      </c>
      <c r="D49" s="21">
        <v>45490</v>
      </c>
      <c r="E49" t="s">
        <v>23</v>
      </c>
      <c r="F49" s="24">
        <v>15</v>
      </c>
      <c r="G49" t="s">
        <v>27</v>
      </c>
      <c r="H49" t="s">
        <v>19</v>
      </c>
      <c r="I49" s="24">
        <v>30</v>
      </c>
      <c r="J49" t="s">
        <v>19</v>
      </c>
      <c r="K49" s="24">
        <v>20</v>
      </c>
      <c r="L49" s="24">
        <v>20</v>
      </c>
      <c r="M49" s="24">
        <v>45</v>
      </c>
    </row>
    <row r="50" spans="1:13" x14ac:dyDescent="0.25">
      <c r="A50">
        <v>3376</v>
      </c>
      <c r="B50" t="s">
        <v>173</v>
      </c>
      <c r="C50" t="s">
        <v>18</v>
      </c>
      <c r="D50" s="21">
        <v>45493</v>
      </c>
      <c r="E50" t="s">
        <v>19</v>
      </c>
      <c r="F50" s="24">
        <v>15</v>
      </c>
      <c r="G50" t="s">
        <v>24</v>
      </c>
      <c r="H50" t="s">
        <v>19</v>
      </c>
      <c r="I50" s="24">
        <v>30</v>
      </c>
      <c r="J50" t="s">
        <v>19</v>
      </c>
      <c r="K50" s="24">
        <v>20</v>
      </c>
      <c r="L50" s="24">
        <v>5</v>
      </c>
      <c r="M50" s="24">
        <v>60</v>
      </c>
    </row>
    <row r="51" spans="1:13" x14ac:dyDescent="0.25">
      <c r="A51">
        <v>3379</v>
      </c>
      <c r="B51" t="s">
        <v>176</v>
      </c>
      <c r="C51" t="s">
        <v>18</v>
      </c>
      <c r="D51" s="21">
        <v>45496</v>
      </c>
      <c r="E51" t="s">
        <v>23</v>
      </c>
      <c r="F51" s="24">
        <v>15</v>
      </c>
      <c r="G51" t="s">
        <v>20</v>
      </c>
      <c r="H51" t="s">
        <v>19</v>
      </c>
      <c r="I51" s="24">
        <v>30</v>
      </c>
      <c r="J51" t="s">
        <v>19</v>
      </c>
      <c r="K51" s="24">
        <v>20</v>
      </c>
      <c r="L51" s="24">
        <v>3</v>
      </c>
      <c r="M51" s="24">
        <v>62</v>
      </c>
    </row>
    <row r="52" spans="1:13" x14ac:dyDescent="0.25">
      <c r="A52">
        <v>3382</v>
      </c>
      <c r="B52" t="s">
        <v>179</v>
      </c>
      <c r="C52" t="s">
        <v>18</v>
      </c>
      <c r="D52" s="21">
        <v>45499</v>
      </c>
      <c r="E52" t="s">
        <v>19</v>
      </c>
      <c r="F52" s="24">
        <v>15</v>
      </c>
      <c r="G52" t="s">
        <v>27</v>
      </c>
      <c r="H52" t="s">
        <v>19</v>
      </c>
      <c r="I52" s="24">
        <v>30</v>
      </c>
      <c r="J52" t="s">
        <v>19</v>
      </c>
      <c r="K52" s="24">
        <v>20</v>
      </c>
      <c r="L52" s="24">
        <v>7</v>
      </c>
      <c r="M52" s="24">
        <v>58</v>
      </c>
    </row>
    <row r="53" spans="1:13" x14ac:dyDescent="0.25">
      <c r="A53">
        <v>3385</v>
      </c>
      <c r="B53" t="s">
        <v>182</v>
      </c>
      <c r="C53" t="s">
        <v>18</v>
      </c>
      <c r="D53" s="21">
        <v>45502</v>
      </c>
      <c r="E53" t="s">
        <v>23</v>
      </c>
      <c r="F53" s="24">
        <v>15</v>
      </c>
      <c r="G53" t="s">
        <v>20</v>
      </c>
      <c r="H53" t="s">
        <v>19</v>
      </c>
      <c r="I53" s="24">
        <v>30</v>
      </c>
      <c r="J53" t="s">
        <v>19</v>
      </c>
      <c r="K53" s="24">
        <v>20</v>
      </c>
      <c r="L53" s="24">
        <v>20</v>
      </c>
      <c r="M53" s="24">
        <v>45</v>
      </c>
    </row>
    <row r="54" spans="1:13" x14ac:dyDescent="0.25">
      <c r="A54">
        <v>3388</v>
      </c>
      <c r="B54" t="s">
        <v>185</v>
      </c>
      <c r="C54" t="s">
        <v>18</v>
      </c>
      <c r="D54" s="21">
        <v>45505</v>
      </c>
      <c r="E54" t="s">
        <v>19</v>
      </c>
      <c r="F54" s="24">
        <v>15</v>
      </c>
      <c r="G54" t="s">
        <v>24</v>
      </c>
      <c r="H54" t="s">
        <v>19</v>
      </c>
      <c r="I54" s="24">
        <v>30</v>
      </c>
      <c r="J54" t="s">
        <v>19</v>
      </c>
      <c r="K54" s="24">
        <v>20</v>
      </c>
      <c r="L54" s="24">
        <v>3</v>
      </c>
      <c r="M54" s="24">
        <v>62</v>
      </c>
    </row>
    <row r="55" spans="1:13" x14ac:dyDescent="0.25">
      <c r="A55">
        <v>3391</v>
      </c>
      <c r="B55" t="s">
        <v>87</v>
      </c>
      <c r="C55" t="s">
        <v>18</v>
      </c>
      <c r="D55" s="21">
        <v>45508</v>
      </c>
      <c r="E55" t="s">
        <v>23</v>
      </c>
      <c r="F55" s="24">
        <v>15</v>
      </c>
      <c r="G55" t="s">
        <v>20</v>
      </c>
      <c r="H55" t="s">
        <v>19</v>
      </c>
      <c r="I55" s="24">
        <v>30</v>
      </c>
      <c r="J55" t="s">
        <v>19</v>
      </c>
      <c r="K55" s="24">
        <v>20</v>
      </c>
      <c r="L55" s="24">
        <v>15</v>
      </c>
      <c r="M55" s="24">
        <v>50</v>
      </c>
    </row>
    <row r="56" spans="1:13" x14ac:dyDescent="0.25">
      <c r="A56">
        <v>3394</v>
      </c>
      <c r="B56" t="s">
        <v>190</v>
      </c>
      <c r="C56" t="s">
        <v>18</v>
      </c>
      <c r="D56" s="21">
        <v>45511</v>
      </c>
      <c r="E56" t="s">
        <v>19</v>
      </c>
      <c r="F56" s="24">
        <v>15</v>
      </c>
      <c r="G56" t="s">
        <v>27</v>
      </c>
      <c r="H56" t="s">
        <v>19</v>
      </c>
      <c r="I56" s="24">
        <v>30</v>
      </c>
      <c r="J56" t="s">
        <v>19</v>
      </c>
      <c r="K56" s="24">
        <v>20</v>
      </c>
      <c r="L56" s="24">
        <v>7</v>
      </c>
      <c r="M56" s="24">
        <v>58</v>
      </c>
    </row>
    <row r="57" spans="1:13" x14ac:dyDescent="0.25">
      <c r="A57">
        <v>3397</v>
      </c>
      <c r="B57" t="s">
        <v>119</v>
      </c>
      <c r="C57" t="s">
        <v>18</v>
      </c>
      <c r="D57" s="21">
        <v>45514</v>
      </c>
      <c r="E57" t="s">
        <v>23</v>
      </c>
      <c r="F57" s="24">
        <v>15</v>
      </c>
      <c r="G57" t="s">
        <v>20</v>
      </c>
      <c r="H57" t="s">
        <v>19</v>
      </c>
      <c r="I57" s="24">
        <v>30</v>
      </c>
      <c r="J57" t="s">
        <v>19</v>
      </c>
      <c r="K57" s="24">
        <v>20</v>
      </c>
      <c r="L57" s="24">
        <v>20</v>
      </c>
      <c r="M57" s="24">
        <v>45</v>
      </c>
    </row>
    <row r="58" spans="1:13" x14ac:dyDescent="0.25">
      <c r="A58">
        <v>3400</v>
      </c>
      <c r="B58" t="s">
        <v>195</v>
      </c>
      <c r="C58" t="s">
        <v>18</v>
      </c>
      <c r="D58" s="21">
        <v>45517</v>
      </c>
      <c r="E58" t="s">
        <v>19</v>
      </c>
      <c r="F58" s="24">
        <v>15</v>
      </c>
      <c r="G58" t="s">
        <v>24</v>
      </c>
      <c r="H58" t="s">
        <v>19</v>
      </c>
      <c r="I58" s="24">
        <v>30</v>
      </c>
      <c r="J58" t="s">
        <v>19</v>
      </c>
      <c r="K58" s="24">
        <v>20</v>
      </c>
      <c r="L58" s="24">
        <v>5</v>
      </c>
      <c r="M58" s="24">
        <v>60</v>
      </c>
    </row>
    <row r="59" spans="1:13" x14ac:dyDescent="0.25">
      <c r="A59">
        <v>3403</v>
      </c>
      <c r="B59" t="s">
        <v>198</v>
      </c>
      <c r="C59" t="s">
        <v>18</v>
      </c>
      <c r="D59" s="21">
        <v>45520</v>
      </c>
      <c r="E59" t="s">
        <v>23</v>
      </c>
      <c r="F59" s="24">
        <v>15</v>
      </c>
      <c r="G59" t="s">
        <v>20</v>
      </c>
      <c r="H59" t="s">
        <v>19</v>
      </c>
      <c r="I59" s="24">
        <v>30</v>
      </c>
      <c r="J59" t="s">
        <v>19</v>
      </c>
      <c r="K59" s="24">
        <v>20</v>
      </c>
      <c r="L59" s="24">
        <v>3</v>
      </c>
      <c r="M59" s="24">
        <v>62</v>
      </c>
    </row>
    <row r="60" spans="1:13" x14ac:dyDescent="0.25">
      <c r="A60">
        <v>3407</v>
      </c>
      <c r="B60" t="s">
        <v>202</v>
      </c>
      <c r="C60" t="s">
        <v>18</v>
      </c>
      <c r="D60" s="21">
        <v>45524</v>
      </c>
      <c r="E60" t="s">
        <v>23</v>
      </c>
      <c r="F60" s="24">
        <v>15</v>
      </c>
      <c r="G60" t="s">
        <v>27</v>
      </c>
      <c r="H60" t="s">
        <v>19</v>
      </c>
      <c r="I60" s="24">
        <v>30</v>
      </c>
      <c r="J60" t="s">
        <v>19</v>
      </c>
      <c r="K60" s="24">
        <v>20</v>
      </c>
      <c r="L60" s="24">
        <v>7</v>
      </c>
      <c r="M60" s="24">
        <v>58</v>
      </c>
    </row>
    <row r="61" spans="1:13" x14ac:dyDescent="0.25">
      <c r="A61">
        <v>3410</v>
      </c>
      <c r="B61" t="s">
        <v>205</v>
      </c>
      <c r="C61" t="s">
        <v>18</v>
      </c>
      <c r="D61" s="21">
        <v>45527</v>
      </c>
      <c r="E61" t="s">
        <v>19</v>
      </c>
      <c r="F61" s="24">
        <v>15</v>
      </c>
      <c r="G61" t="s">
        <v>20</v>
      </c>
      <c r="H61" t="s">
        <v>19</v>
      </c>
      <c r="I61" s="24">
        <v>30</v>
      </c>
      <c r="J61" t="s">
        <v>19</v>
      </c>
      <c r="K61" s="24">
        <v>20</v>
      </c>
      <c r="L61" s="24">
        <v>15</v>
      </c>
      <c r="M61" s="24">
        <v>50</v>
      </c>
    </row>
    <row r="62" spans="1:13" x14ac:dyDescent="0.25">
      <c r="A62">
        <v>3413</v>
      </c>
      <c r="B62" t="s">
        <v>208</v>
      </c>
      <c r="C62" t="s">
        <v>18</v>
      </c>
      <c r="D62" s="21">
        <v>45530</v>
      </c>
      <c r="E62" t="s">
        <v>23</v>
      </c>
      <c r="F62" s="24">
        <v>15</v>
      </c>
      <c r="G62" t="s">
        <v>27</v>
      </c>
      <c r="H62" t="s">
        <v>19</v>
      </c>
      <c r="I62" s="24">
        <v>30</v>
      </c>
      <c r="J62" t="s">
        <v>19</v>
      </c>
      <c r="K62" s="24">
        <v>20</v>
      </c>
      <c r="L62" s="24">
        <v>20</v>
      </c>
      <c r="M62" s="24">
        <v>45</v>
      </c>
    </row>
    <row r="63" spans="1:13" x14ac:dyDescent="0.25">
      <c r="A63">
        <v>3416</v>
      </c>
      <c r="B63" t="s">
        <v>211</v>
      </c>
      <c r="C63" t="s">
        <v>18</v>
      </c>
      <c r="D63" s="21">
        <v>45533</v>
      </c>
      <c r="E63" t="s">
        <v>19</v>
      </c>
      <c r="F63" s="24">
        <v>15</v>
      </c>
      <c r="G63" t="s">
        <v>24</v>
      </c>
      <c r="H63" t="s">
        <v>19</v>
      </c>
      <c r="I63" s="24">
        <v>30</v>
      </c>
      <c r="J63" t="s">
        <v>19</v>
      </c>
      <c r="K63" s="24">
        <v>20</v>
      </c>
      <c r="L63" s="24">
        <v>5</v>
      </c>
      <c r="M63" s="24">
        <v>60</v>
      </c>
    </row>
    <row r="64" spans="1:13" x14ac:dyDescent="0.25">
      <c r="A64">
        <v>3419</v>
      </c>
      <c r="B64" t="s">
        <v>214</v>
      </c>
      <c r="C64" t="s">
        <v>18</v>
      </c>
      <c r="D64" s="21">
        <v>45536</v>
      </c>
      <c r="E64" t="s">
        <v>23</v>
      </c>
      <c r="F64" s="24">
        <v>15</v>
      </c>
      <c r="G64" t="s">
        <v>20</v>
      </c>
      <c r="H64" t="s">
        <v>19</v>
      </c>
      <c r="I64" s="24">
        <v>30</v>
      </c>
      <c r="J64" t="s">
        <v>19</v>
      </c>
      <c r="K64" s="24">
        <v>20</v>
      </c>
      <c r="L64" s="24">
        <v>3</v>
      </c>
      <c r="M64" s="24">
        <v>62</v>
      </c>
    </row>
    <row r="65" spans="1:13" x14ac:dyDescent="0.25">
      <c r="A65">
        <v>3422</v>
      </c>
      <c r="B65" t="s">
        <v>216</v>
      </c>
      <c r="C65" t="s">
        <v>18</v>
      </c>
      <c r="D65" s="21">
        <v>45539</v>
      </c>
      <c r="E65" t="s">
        <v>19</v>
      </c>
      <c r="F65" s="24">
        <v>15</v>
      </c>
      <c r="G65" t="s">
        <v>27</v>
      </c>
      <c r="H65" t="s">
        <v>19</v>
      </c>
      <c r="I65" s="24">
        <v>30</v>
      </c>
      <c r="J65" t="s">
        <v>19</v>
      </c>
      <c r="K65" s="24">
        <v>20</v>
      </c>
      <c r="L65" s="24">
        <v>7</v>
      </c>
      <c r="M65" s="24">
        <v>58</v>
      </c>
    </row>
    <row r="66" spans="1:13" x14ac:dyDescent="0.25">
      <c r="A66">
        <v>3425</v>
      </c>
      <c r="B66" t="s">
        <v>218</v>
      </c>
      <c r="C66" t="s">
        <v>18</v>
      </c>
      <c r="D66" s="21">
        <v>45542</v>
      </c>
      <c r="E66" t="s">
        <v>23</v>
      </c>
      <c r="F66" s="24">
        <v>15</v>
      </c>
      <c r="G66" t="s">
        <v>20</v>
      </c>
      <c r="H66" t="s">
        <v>19</v>
      </c>
      <c r="I66" s="24">
        <v>30</v>
      </c>
      <c r="J66" t="s">
        <v>19</v>
      </c>
      <c r="K66" s="24">
        <v>20</v>
      </c>
      <c r="L66" s="24">
        <v>20</v>
      </c>
      <c r="M66" s="24">
        <v>45</v>
      </c>
    </row>
    <row r="67" spans="1:13" x14ac:dyDescent="0.25">
      <c r="A67">
        <v>3428</v>
      </c>
      <c r="B67" t="s">
        <v>220</v>
      </c>
      <c r="C67" t="s">
        <v>18</v>
      </c>
      <c r="D67" s="21">
        <v>45545</v>
      </c>
      <c r="E67" t="s">
        <v>19</v>
      </c>
      <c r="F67" s="24">
        <v>15</v>
      </c>
      <c r="G67" t="s">
        <v>24</v>
      </c>
      <c r="H67" t="s">
        <v>19</v>
      </c>
      <c r="I67" s="24">
        <v>30</v>
      </c>
      <c r="J67" t="s">
        <v>19</v>
      </c>
      <c r="K67" s="24">
        <v>20</v>
      </c>
      <c r="L67" s="24">
        <v>3</v>
      </c>
      <c r="M67" s="24">
        <v>62</v>
      </c>
    </row>
    <row r="68" spans="1:13" x14ac:dyDescent="0.25">
      <c r="A68">
        <v>3431</v>
      </c>
      <c r="B68" t="s">
        <v>223</v>
      </c>
      <c r="C68" t="s">
        <v>18</v>
      </c>
      <c r="D68" s="21">
        <v>45548</v>
      </c>
      <c r="E68" t="s">
        <v>23</v>
      </c>
      <c r="F68" s="24">
        <v>15</v>
      </c>
      <c r="G68" t="s">
        <v>20</v>
      </c>
      <c r="H68" t="s">
        <v>19</v>
      </c>
      <c r="I68" s="24">
        <v>30</v>
      </c>
      <c r="J68" t="s">
        <v>19</v>
      </c>
      <c r="K68" s="24">
        <v>20</v>
      </c>
      <c r="L68" s="24">
        <v>15</v>
      </c>
      <c r="M68" s="24">
        <v>50</v>
      </c>
    </row>
    <row r="69" spans="1:13" x14ac:dyDescent="0.25">
      <c r="A69">
        <v>3434</v>
      </c>
      <c r="B69" t="s">
        <v>226</v>
      </c>
      <c r="C69" t="s">
        <v>18</v>
      </c>
      <c r="D69" s="21">
        <v>45551</v>
      </c>
      <c r="E69" t="s">
        <v>19</v>
      </c>
      <c r="F69" s="24">
        <v>15</v>
      </c>
      <c r="G69" t="s">
        <v>27</v>
      </c>
      <c r="H69" t="s">
        <v>19</v>
      </c>
      <c r="I69" s="24">
        <v>30</v>
      </c>
      <c r="J69" t="s">
        <v>19</v>
      </c>
      <c r="K69" s="24">
        <v>20</v>
      </c>
      <c r="L69" s="24">
        <v>7</v>
      </c>
      <c r="M69" s="24">
        <v>58</v>
      </c>
    </row>
    <row r="70" spans="1:13" x14ac:dyDescent="0.25">
      <c r="A70">
        <v>3437</v>
      </c>
      <c r="B70" t="s">
        <v>229</v>
      </c>
      <c r="C70" t="s">
        <v>18</v>
      </c>
      <c r="D70" s="21">
        <v>45554</v>
      </c>
      <c r="E70" t="s">
        <v>23</v>
      </c>
      <c r="F70" s="24">
        <v>15</v>
      </c>
      <c r="G70" t="s">
        <v>27</v>
      </c>
      <c r="H70" t="s">
        <v>19</v>
      </c>
      <c r="I70" s="24">
        <v>30</v>
      </c>
      <c r="J70" t="s">
        <v>19</v>
      </c>
      <c r="K70" s="24">
        <v>20</v>
      </c>
      <c r="L70" s="24">
        <v>7</v>
      </c>
      <c r="M70" s="24">
        <v>58</v>
      </c>
    </row>
    <row r="71" spans="1:13" x14ac:dyDescent="0.25">
      <c r="A71">
        <v>3440</v>
      </c>
      <c r="B71" t="s">
        <v>232</v>
      </c>
      <c r="C71" t="s">
        <v>18</v>
      </c>
      <c r="D71" s="21">
        <v>45557</v>
      </c>
      <c r="E71" t="s">
        <v>19</v>
      </c>
      <c r="F71" s="24">
        <v>15</v>
      </c>
      <c r="G71" t="s">
        <v>20</v>
      </c>
      <c r="H71" t="s">
        <v>19</v>
      </c>
      <c r="I71" s="24">
        <v>30</v>
      </c>
      <c r="J71" t="s">
        <v>19</v>
      </c>
      <c r="K71" s="24">
        <v>20</v>
      </c>
      <c r="L71" s="24">
        <v>15</v>
      </c>
      <c r="M71" s="24">
        <v>50</v>
      </c>
    </row>
    <row r="72" spans="1:13" x14ac:dyDescent="0.25">
      <c r="A72">
        <v>3443</v>
      </c>
      <c r="B72" t="s">
        <v>235</v>
      </c>
      <c r="C72" t="s">
        <v>18</v>
      </c>
      <c r="D72" s="21">
        <v>45560</v>
      </c>
      <c r="E72" t="s">
        <v>23</v>
      </c>
      <c r="F72" s="24">
        <v>15</v>
      </c>
      <c r="G72" t="s">
        <v>27</v>
      </c>
      <c r="H72" t="s">
        <v>19</v>
      </c>
      <c r="I72" s="24">
        <v>30</v>
      </c>
      <c r="J72" t="s">
        <v>19</v>
      </c>
      <c r="K72" s="24">
        <v>20</v>
      </c>
      <c r="L72" s="24">
        <v>20</v>
      </c>
      <c r="M72" s="24">
        <v>45</v>
      </c>
    </row>
    <row r="73" spans="1:13" x14ac:dyDescent="0.25">
      <c r="A73">
        <v>3446</v>
      </c>
      <c r="B73" t="s">
        <v>237</v>
      </c>
      <c r="C73" t="s">
        <v>18</v>
      </c>
      <c r="D73" s="21">
        <v>45563</v>
      </c>
      <c r="E73" t="s">
        <v>19</v>
      </c>
      <c r="F73" s="24">
        <v>15</v>
      </c>
      <c r="G73" t="s">
        <v>24</v>
      </c>
      <c r="H73" t="s">
        <v>19</v>
      </c>
      <c r="I73" s="24">
        <v>30</v>
      </c>
      <c r="J73" t="s">
        <v>19</v>
      </c>
      <c r="K73" s="24">
        <v>20</v>
      </c>
      <c r="L73" s="24">
        <v>5</v>
      </c>
      <c r="M73" s="24">
        <v>60</v>
      </c>
    </row>
    <row r="74" spans="1:13" x14ac:dyDescent="0.25">
      <c r="A74">
        <v>3449</v>
      </c>
      <c r="B74" t="s">
        <v>240</v>
      </c>
      <c r="C74" t="s">
        <v>18</v>
      </c>
      <c r="D74" s="21">
        <v>45566</v>
      </c>
      <c r="E74" t="s">
        <v>23</v>
      </c>
      <c r="F74" s="24">
        <v>15</v>
      </c>
      <c r="G74" t="s">
        <v>20</v>
      </c>
      <c r="H74" t="s">
        <v>19</v>
      </c>
      <c r="I74" s="24">
        <v>30</v>
      </c>
      <c r="J74" t="s">
        <v>19</v>
      </c>
      <c r="K74" s="24">
        <v>20</v>
      </c>
      <c r="L74" s="24">
        <v>3</v>
      </c>
      <c r="M74" s="24">
        <v>62</v>
      </c>
    </row>
    <row r="75" spans="1:13" x14ac:dyDescent="0.25">
      <c r="A75">
        <v>3452</v>
      </c>
      <c r="B75" t="s">
        <v>220</v>
      </c>
      <c r="C75" t="s">
        <v>18</v>
      </c>
      <c r="D75" s="21">
        <v>45569</v>
      </c>
      <c r="E75" t="s">
        <v>19</v>
      </c>
      <c r="F75" s="24">
        <v>15</v>
      </c>
      <c r="G75" t="s">
        <v>27</v>
      </c>
      <c r="H75" t="s">
        <v>19</v>
      </c>
      <c r="I75" s="24">
        <v>30</v>
      </c>
      <c r="J75" t="s">
        <v>19</v>
      </c>
      <c r="K75" s="24">
        <v>20</v>
      </c>
      <c r="L75" s="24">
        <v>7</v>
      </c>
      <c r="M75" s="24">
        <v>58</v>
      </c>
    </row>
    <row r="76" spans="1:13" x14ac:dyDescent="0.25">
      <c r="A76">
        <v>3455</v>
      </c>
      <c r="B76" t="s">
        <v>244</v>
      </c>
      <c r="C76" t="s">
        <v>18</v>
      </c>
      <c r="D76" s="21">
        <v>45572</v>
      </c>
      <c r="E76" t="s">
        <v>23</v>
      </c>
      <c r="F76" s="24">
        <v>15</v>
      </c>
      <c r="G76" t="s">
        <v>20</v>
      </c>
      <c r="H76" t="s">
        <v>19</v>
      </c>
      <c r="I76" s="24">
        <v>30</v>
      </c>
      <c r="J76" t="s">
        <v>19</v>
      </c>
      <c r="K76" s="24">
        <v>20</v>
      </c>
      <c r="L76" s="24">
        <v>20</v>
      </c>
      <c r="M76" s="24">
        <v>45</v>
      </c>
    </row>
    <row r="77" spans="1:13" x14ac:dyDescent="0.25">
      <c r="A77">
        <v>3458</v>
      </c>
      <c r="B77" t="s">
        <v>247</v>
      </c>
      <c r="C77" t="s">
        <v>18</v>
      </c>
      <c r="D77" s="21">
        <v>45575</v>
      </c>
      <c r="E77" t="s">
        <v>19</v>
      </c>
      <c r="F77" s="24">
        <v>15</v>
      </c>
      <c r="G77" t="s">
        <v>24</v>
      </c>
      <c r="H77" t="s">
        <v>19</v>
      </c>
      <c r="I77" s="24">
        <v>30</v>
      </c>
      <c r="J77" t="s">
        <v>19</v>
      </c>
      <c r="K77" s="24">
        <v>20</v>
      </c>
      <c r="L77" s="24">
        <v>3</v>
      </c>
      <c r="M77" s="24">
        <v>62</v>
      </c>
    </row>
    <row r="78" spans="1:13" x14ac:dyDescent="0.25">
      <c r="A78">
        <v>3461</v>
      </c>
      <c r="B78" t="s">
        <v>249</v>
      </c>
      <c r="C78" t="s">
        <v>18</v>
      </c>
      <c r="D78" s="21">
        <v>45578</v>
      </c>
      <c r="E78" t="s">
        <v>23</v>
      </c>
      <c r="F78" s="24">
        <v>15</v>
      </c>
      <c r="G78" t="s">
        <v>20</v>
      </c>
      <c r="H78" t="s">
        <v>19</v>
      </c>
      <c r="I78" s="24">
        <v>30</v>
      </c>
      <c r="J78" t="s">
        <v>19</v>
      </c>
      <c r="K78" s="24">
        <v>20</v>
      </c>
      <c r="L78" s="24">
        <v>15</v>
      </c>
      <c r="M78" s="24">
        <v>50</v>
      </c>
    </row>
    <row r="79" spans="1:13" x14ac:dyDescent="0.25">
      <c r="A79">
        <v>3464</v>
      </c>
      <c r="B79" t="s">
        <v>252</v>
      </c>
      <c r="C79" t="s">
        <v>18</v>
      </c>
      <c r="D79" s="21">
        <v>45581</v>
      </c>
      <c r="E79" t="s">
        <v>19</v>
      </c>
      <c r="F79" s="24">
        <v>15</v>
      </c>
      <c r="G79" t="s">
        <v>27</v>
      </c>
      <c r="H79" t="s">
        <v>19</v>
      </c>
      <c r="I79" s="24">
        <v>30</v>
      </c>
      <c r="J79" t="s">
        <v>19</v>
      </c>
      <c r="K79" s="24">
        <v>20</v>
      </c>
      <c r="L79" s="24">
        <v>7</v>
      </c>
      <c r="M79" s="24">
        <v>58</v>
      </c>
    </row>
    <row r="80" spans="1:13" x14ac:dyDescent="0.25">
      <c r="A80">
        <v>3467</v>
      </c>
      <c r="B80" t="s">
        <v>255</v>
      </c>
      <c r="C80" t="s">
        <v>18</v>
      </c>
      <c r="D80" s="21">
        <v>45584</v>
      </c>
      <c r="E80" t="s">
        <v>23</v>
      </c>
      <c r="F80" s="24">
        <v>15</v>
      </c>
      <c r="G80" t="s">
        <v>20</v>
      </c>
      <c r="H80" t="s">
        <v>19</v>
      </c>
      <c r="I80" s="24">
        <v>30</v>
      </c>
      <c r="J80" t="s">
        <v>19</v>
      </c>
      <c r="K80" s="24">
        <v>20</v>
      </c>
      <c r="L80" s="24">
        <v>15</v>
      </c>
      <c r="M80" s="24">
        <v>50</v>
      </c>
    </row>
    <row r="81" spans="1:13" x14ac:dyDescent="0.25">
      <c r="A81">
        <v>3470</v>
      </c>
      <c r="B81" t="s">
        <v>258</v>
      </c>
      <c r="C81" t="s">
        <v>18</v>
      </c>
      <c r="D81" s="21">
        <v>45587</v>
      </c>
      <c r="E81" t="s">
        <v>19</v>
      </c>
      <c r="F81" s="24">
        <v>15</v>
      </c>
      <c r="G81" t="s">
        <v>24</v>
      </c>
      <c r="H81" t="s">
        <v>19</v>
      </c>
      <c r="I81" s="24">
        <v>30</v>
      </c>
      <c r="J81" t="s">
        <v>19</v>
      </c>
      <c r="K81" s="24">
        <v>20</v>
      </c>
      <c r="L81" s="24">
        <v>5</v>
      </c>
      <c r="M81" s="24">
        <v>60</v>
      </c>
    </row>
    <row r="82" spans="1:13" x14ac:dyDescent="0.25">
      <c r="A82">
        <v>3473</v>
      </c>
      <c r="B82" t="s">
        <v>169</v>
      </c>
      <c r="C82" t="s">
        <v>18</v>
      </c>
      <c r="D82" s="21">
        <v>45590</v>
      </c>
      <c r="E82" t="s">
        <v>23</v>
      </c>
      <c r="F82" s="24">
        <v>15</v>
      </c>
      <c r="G82" t="s">
        <v>20</v>
      </c>
      <c r="H82" t="s">
        <v>19</v>
      </c>
      <c r="I82" s="24">
        <v>30</v>
      </c>
      <c r="J82" t="s">
        <v>19</v>
      </c>
      <c r="K82" s="24">
        <v>20</v>
      </c>
      <c r="L82" s="24">
        <v>3</v>
      </c>
      <c r="M82" s="24">
        <v>62</v>
      </c>
    </row>
    <row r="83" spans="1:13" x14ac:dyDescent="0.25">
      <c r="A83">
        <v>3476</v>
      </c>
      <c r="B83" t="s">
        <v>263</v>
      </c>
      <c r="C83" t="s">
        <v>18</v>
      </c>
      <c r="D83" s="21">
        <v>45593</v>
      </c>
      <c r="E83" t="s">
        <v>19</v>
      </c>
      <c r="F83" s="24">
        <v>15</v>
      </c>
      <c r="G83" t="s">
        <v>27</v>
      </c>
      <c r="H83" t="s">
        <v>19</v>
      </c>
      <c r="I83" s="24">
        <v>30</v>
      </c>
      <c r="J83" t="s">
        <v>19</v>
      </c>
      <c r="K83" s="24">
        <v>20</v>
      </c>
      <c r="L83" s="24">
        <v>7</v>
      </c>
      <c r="M83" s="24">
        <v>58</v>
      </c>
    </row>
    <row r="84" spans="1:13" x14ac:dyDescent="0.25">
      <c r="A84">
        <v>3479</v>
      </c>
      <c r="B84" t="s">
        <v>266</v>
      </c>
      <c r="C84" t="s">
        <v>18</v>
      </c>
      <c r="D84" s="21">
        <v>45596</v>
      </c>
      <c r="E84" t="s">
        <v>23</v>
      </c>
      <c r="F84" s="24">
        <v>15</v>
      </c>
      <c r="G84" t="s">
        <v>20</v>
      </c>
      <c r="H84" t="s">
        <v>19</v>
      </c>
      <c r="I84" s="24">
        <v>30</v>
      </c>
      <c r="J84" t="s">
        <v>19</v>
      </c>
      <c r="K84" s="24">
        <v>20</v>
      </c>
      <c r="L84" s="24">
        <v>20</v>
      </c>
      <c r="M84" s="24">
        <v>45</v>
      </c>
    </row>
    <row r="85" spans="1:13" x14ac:dyDescent="0.25">
      <c r="A85">
        <v>3482</v>
      </c>
      <c r="B85" t="s">
        <v>269</v>
      </c>
      <c r="C85" t="s">
        <v>18</v>
      </c>
      <c r="D85" s="21">
        <v>45599</v>
      </c>
      <c r="E85" t="s">
        <v>19</v>
      </c>
      <c r="F85" s="24">
        <v>15</v>
      </c>
      <c r="G85" t="s">
        <v>24</v>
      </c>
      <c r="H85" t="s">
        <v>19</v>
      </c>
      <c r="I85" s="24">
        <v>30</v>
      </c>
      <c r="J85" t="s">
        <v>19</v>
      </c>
      <c r="K85" s="24">
        <v>20</v>
      </c>
      <c r="L85" s="24">
        <v>3</v>
      </c>
      <c r="M85" s="24">
        <v>62</v>
      </c>
    </row>
    <row r="86" spans="1:13" x14ac:dyDescent="0.25">
      <c r="A86">
        <v>3485</v>
      </c>
      <c r="B86" t="s">
        <v>272</v>
      </c>
      <c r="C86" t="s">
        <v>18</v>
      </c>
      <c r="D86" s="21">
        <v>45602</v>
      </c>
      <c r="E86" t="s">
        <v>23</v>
      </c>
      <c r="F86" s="24">
        <v>15</v>
      </c>
      <c r="G86" t="s">
        <v>20</v>
      </c>
      <c r="H86" t="s">
        <v>19</v>
      </c>
      <c r="I86" s="24">
        <v>30</v>
      </c>
      <c r="J86" t="s">
        <v>19</v>
      </c>
      <c r="K86" s="24">
        <v>20</v>
      </c>
      <c r="L86" s="24">
        <v>15</v>
      </c>
      <c r="M86" s="24">
        <v>50</v>
      </c>
    </row>
    <row r="87" spans="1:13" x14ac:dyDescent="0.25">
      <c r="A87">
        <v>3487</v>
      </c>
      <c r="B87" t="s">
        <v>274</v>
      </c>
      <c r="C87" t="s">
        <v>18</v>
      </c>
      <c r="D87" s="21">
        <v>45604</v>
      </c>
      <c r="E87" t="s">
        <v>23</v>
      </c>
      <c r="F87" s="24">
        <v>15</v>
      </c>
      <c r="G87" t="s">
        <v>27</v>
      </c>
      <c r="H87" t="s">
        <v>19</v>
      </c>
      <c r="I87" s="24">
        <v>30</v>
      </c>
      <c r="J87" t="s">
        <v>19</v>
      </c>
      <c r="K87" s="24">
        <v>20</v>
      </c>
      <c r="L87" s="24">
        <v>7</v>
      </c>
      <c r="M87" s="24">
        <v>58</v>
      </c>
    </row>
    <row r="88" spans="1:13" x14ac:dyDescent="0.25">
      <c r="A88">
        <v>3490</v>
      </c>
      <c r="B88" t="s">
        <v>277</v>
      </c>
      <c r="C88" t="s">
        <v>18</v>
      </c>
      <c r="D88" s="21">
        <v>45607</v>
      </c>
      <c r="E88" t="s">
        <v>19</v>
      </c>
      <c r="F88" s="24">
        <v>15</v>
      </c>
      <c r="G88" t="s">
        <v>20</v>
      </c>
      <c r="H88" t="s">
        <v>19</v>
      </c>
      <c r="I88" s="24">
        <v>30</v>
      </c>
      <c r="J88" t="s">
        <v>19</v>
      </c>
      <c r="K88" s="24">
        <v>20</v>
      </c>
      <c r="L88" s="24">
        <v>15</v>
      </c>
      <c r="M88" s="24">
        <v>50</v>
      </c>
    </row>
    <row r="89" spans="1:13" x14ac:dyDescent="0.25">
      <c r="A89">
        <v>3493</v>
      </c>
      <c r="B89" t="s">
        <v>280</v>
      </c>
      <c r="C89" t="s">
        <v>18</v>
      </c>
      <c r="D89" s="21">
        <v>45610</v>
      </c>
      <c r="E89" t="s">
        <v>23</v>
      </c>
      <c r="F89" s="24">
        <v>15</v>
      </c>
      <c r="G89" t="s">
        <v>27</v>
      </c>
      <c r="H89" t="s">
        <v>19</v>
      </c>
      <c r="I89" s="24">
        <v>30</v>
      </c>
      <c r="J89" t="s">
        <v>19</v>
      </c>
      <c r="K89" s="24">
        <v>20</v>
      </c>
      <c r="L89" s="24">
        <v>20</v>
      </c>
      <c r="M89" s="24">
        <v>45</v>
      </c>
    </row>
    <row r="90" spans="1:13" x14ac:dyDescent="0.25">
      <c r="A90">
        <v>3496</v>
      </c>
      <c r="B90" t="s">
        <v>283</v>
      </c>
      <c r="C90" t="s">
        <v>18</v>
      </c>
      <c r="D90" s="21">
        <v>45613</v>
      </c>
      <c r="E90" t="s">
        <v>19</v>
      </c>
      <c r="F90" s="24">
        <v>15</v>
      </c>
      <c r="G90" t="s">
        <v>24</v>
      </c>
      <c r="H90" t="s">
        <v>19</v>
      </c>
      <c r="I90" s="24">
        <v>30</v>
      </c>
      <c r="J90" t="s">
        <v>19</v>
      </c>
      <c r="K90" s="24">
        <v>20</v>
      </c>
      <c r="L90" s="24">
        <v>5</v>
      </c>
      <c r="M90" s="24">
        <v>60</v>
      </c>
    </row>
    <row r="91" spans="1:13" x14ac:dyDescent="0.25">
      <c r="A91">
        <v>3499</v>
      </c>
      <c r="B91" t="s">
        <v>286</v>
      </c>
      <c r="C91" t="s">
        <v>18</v>
      </c>
      <c r="D91" s="21">
        <v>45616</v>
      </c>
      <c r="E91" t="s">
        <v>23</v>
      </c>
      <c r="F91" s="24">
        <v>15</v>
      </c>
      <c r="G91" t="s">
        <v>20</v>
      </c>
      <c r="H91" t="s">
        <v>19</v>
      </c>
      <c r="I91" s="24">
        <v>30</v>
      </c>
      <c r="J91" t="s">
        <v>19</v>
      </c>
      <c r="K91" s="24">
        <v>20</v>
      </c>
      <c r="L91" s="24">
        <v>3</v>
      </c>
      <c r="M91" s="24">
        <v>62</v>
      </c>
    </row>
    <row r="92" spans="1:13" x14ac:dyDescent="0.25">
      <c r="A92">
        <v>3502</v>
      </c>
      <c r="B92" t="s">
        <v>289</v>
      </c>
      <c r="C92" t="s">
        <v>18</v>
      </c>
      <c r="D92" s="21">
        <v>45619</v>
      </c>
      <c r="E92" t="s">
        <v>19</v>
      </c>
      <c r="F92" s="24">
        <v>15</v>
      </c>
      <c r="G92" t="s">
        <v>27</v>
      </c>
      <c r="H92" t="s">
        <v>19</v>
      </c>
      <c r="I92" s="24">
        <v>30</v>
      </c>
      <c r="J92" t="s">
        <v>19</v>
      </c>
      <c r="K92" s="24">
        <v>20</v>
      </c>
      <c r="L92" s="24">
        <v>7</v>
      </c>
      <c r="M92" s="24">
        <v>58</v>
      </c>
    </row>
    <row r="93" spans="1:13" x14ac:dyDescent="0.25">
      <c r="A93">
        <v>3505</v>
      </c>
      <c r="B93" t="s">
        <v>291</v>
      </c>
      <c r="C93" t="s">
        <v>18</v>
      </c>
      <c r="D93" s="21">
        <v>45622</v>
      </c>
      <c r="E93" t="s">
        <v>23</v>
      </c>
      <c r="F93" s="24">
        <v>15</v>
      </c>
      <c r="G93" t="s">
        <v>20</v>
      </c>
      <c r="H93" t="s">
        <v>19</v>
      </c>
      <c r="I93" s="24">
        <v>30</v>
      </c>
      <c r="J93" t="s">
        <v>19</v>
      </c>
      <c r="K93" s="24">
        <v>20</v>
      </c>
      <c r="L93" s="24">
        <v>20</v>
      </c>
      <c r="M93" s="24">
        <v>45</v>
      </c>
    </row>
    <row r="94" spans="1:13" x14ac:dyDescent="0.25">
      <c r="A94">
        <v>3508</v>
      </c>
      <c r="B94" t="s">
        <v>294</v>
      </c>
      <c r="C94" t="s">
        <v>18</v>
      </c>
      <c r="D94" s="21">
        <v>45625</v>
      </c>
      <c r="E94" t="s">
        <v>19</v>
      </c>
      <c r="F94" s="24">
        <v>15</v>
      </c>
      <c r="G94" t="s">
        <v>24</v>
      </c>
      <c r="H94" t="s">
        <v>19</v>
      </c>
      <c r="I94" s="24">
        <v>30</v>
      </c>
      <c r="J94" t="s">
        <v>19</v>
      </c>
      <c r="K94" s="24">
        <v>20</v>
      </c>
      <c r="L94" s="24">
        <v>3</v>
      </c>
      <c r="M94" s="24">
        <v>62</v>
      </c>
    </row>
    <row r="95" spans="1:13" x14ac:dyDescent="0.25">
      <c r="A95">
        <v>3511</v>
      </c>
      <c r="B95" t="s">
        <v>297</v>
      </c>
      <c r="C95" t="s">
        <v>18</v>
      </c>
      <c r="D95" s="21">
        <v>45628</v>
      </c>
      <c r="E95" t="s">
        <v>23</v>
      </c>
      <c r="F95" s="24">
        <v>15</v>
      </c>
      <c r="G95" t="s">
        <v>20</v>
      </c>
      <c r="H95" t="s">
        <v>19</v>
      </c>
      <c r="I95" s="24">
        <v>30</v>
      </c>
      <c r="J95" t="s">
        <v>19</v>
      </c>
      <c r="K95" s="24">
        <v>20</v>
      </c>
      <c r="L95" s="24">
        <v>15</v>
      </c>
      <c r="M95" s="24">
        <v>50</v>
      </c>
    </row>
    <row r="96" spans="1:13" x14ac:dyDescent="0.25">
      <c r="A96">
        <v>3514</v>
      </c>
      <c r="B96" t="s">
        <v>300</v>
      </c>
      <c r="C96" t="s">
        <v>18</v>
      </c>
      <c r="D96" s="21">
        <v>45631</v>
      </c>
      <c r="E96" t="s">
        <v>19</v>
      </c>
      <c r="F96" s="24">
        <v>15</v>
      </c>
      <c r="G96" t="s">
        <v>27</v>
      </c>
      <c r="H96" t="s">
        <v>19</v>
      </c>
      <c r="I96" s="24">
        <v>30</v>
      </c>
      <c r="J96" t="s">
        <v>19</v>
      </c>
      <c r="K96" s="24">
        <v>20</v>
      </c>
      <c r="L96" s="24">
        <v>7</v>
      </c>
      <c r="M96" s="24">
        <v>58</v>
      </c>
    </row>
    <row r="97" spans="1:13" x14ac:dyDescent="0.25">
      <c r="A97">
        <v>3517</v>
      </c>
      <c r="B97" t="s">
        <v>210</v>
      </c>
      <c r="C97" t="s">
        <v>18</v>
      </c>
      <c r="D97" s="21">
        <v>45634</v>
      </c>
      <c r="E97" t="s">
        <v>23</v>
      </c>
      <c r="F97" s="24">
        <v>15</v>
      </c>
      <c r="G97" t="s">
        <v>20</v>
      </c>
      <c r="H97" t="s">
        <v>19</v>
      </c>
      <c r="I97" s="24">
        <v>30</v>
      </c>
      <c r="J97" t="s">
        <v>19</v>
      </c>
      <c r="K97" s="24">
        <v>20</v>
      </c>
      <c r="L97" s="24">
        <v>20</v>
      </c>
      <c r="M97" s="24">
        <v>45</v>
      </c>
    </row>
    <row r="98" spans="1:13" x14ac:dyDescent="0.25">
      <c r="A98">
        <v>3520</v>
      </c>
      <c r="B98" t="s">
        <v>303</v>
      </c>
      <c r="C98" t="s">
        <v>18</v>
      </c>
      <c r="D98" s="21">
        <v>45637</v>
      </c>
      <c r="E98" t="s">
        <v>19</v>
      </c>
      <c r="F98" s="24">
        <v>15</v>
      </c>
      <c r="G98" t="s">
        <v>24</v>
      </c>
      <c r="H98" t="s">
        <v>19</v>
      </c>
      <c r="I98" s="24">
        <v>30</v>
      </c>
      <c r="J98" t="s">
        <v>19</v>
      </c>
      <c r="K98" s="24">
        <v>20</v>
      </c>
      <c r="L98" s="24">
        <v>5</v>
      </c>
      <c r="M98" s="24">
        <v>60</v>
      </c>
    </row>
    <row r="99" spans="1:13" x14ac:dyDescent="0.25">
      <c r="A99">
        <v>3523</v>
      </c>
      <c r="B99" t="s">
        <v>306</v>
      </c>
      <c r="C99" t="s">
        <v>18</v>
      </c>
      <c r="D99" s="21">
        <v>45640</v>
      </c>
      <c r="E99" t="s">
        <v>23</v>
      </c>
      <c r="F99" s="24">
        <v>15</v>
      </c>
      <c r="G99" t="s">
        <v>20</v>
      </c>
      <c r="H99" t="s">
        <v>19</v>
      </c>
      <c r="I99" s="24">
        <v>30</v>
      </c>
      <c r="J99" t="s">
        <v>19</v>
      </c>
      <c r="K99" s="24">
        <v>20</v>
      </c>
      <c r="L99" s="24">
        <v>3</v>
      </c>
      <c r="M99" s="24">
        <v>62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6371-76C6-44AA-9F81-C4D509C5ABF9}">
  <dimension ref="A1:B9"/>
  <sheetViews>
    <sheetView workbookViewId="0">
      <selection activeCell="B8" sqref="B8"/>
    </sheetView>
  </sheetViews>
  <sheetFormatPr defaultRowHeight="15" x14ac:dyDescent="0.25"/>
  <cols>
    <col min="1" max="1" width="17.42578125" customWidth="1"/>
    <col min="2" max="2" width="10.7109375" bestFit="1" customWidth="1"/>
  </cols>
  <sheetData>
    <row r="1" spans="1:2" x14ac:dyDescent="0.25">
      <c r="A1" t="s">
        <v>33</v>
      </c>
      <c r="B1" s="24">
        <f>SUM(Bases!M2:M99)</f>
        <v>5388</v>
      </c>
    </row>
    <row r="2" spans="1:2" x14ac:dyDescent="0.25">
      <c r="A2" t="s">
        <v>327</v>
      </c>
      <c r="B2" s="23">
        <f>COUNTIF(B̳ases!E:E,"Yes")</f>
        <v>148</v>
      </c>
    </row>
    <row r="3" spans="1:2" x14ac:dyDescent="0.25">
      <c r="A3" t="s">
        <v>328</v>
      </c>
      <c r="B3" s="23">
        <f>COUNTIF(B̳ases!G:G,"Quarterly")</f>
        <v>85</v>
      </c>
    </row>
    <row r="4" spans="1:2" x14ac:dyDescent="0.25">
      <c r="A4" t="s">
        <v>326</v>
      </c>
      <c r="B4" s="23">
        <f>COUNTIF(B̳ases!G:G,"Annual")</f>
        <v>71</v>
      </c>
    </row>
    <row r="5" spans="1:2" x14ac:dyDescent="0.25">
      <c r="A5" s="25" t="s">
        <v>324</v>
      </c>
      <c r="B5" s="25">
        <f>COUNTIF(Bases!G:G,"Monthly")</f>
        <v>45</v>
      </c>
    </row>
    <row r="6" spans="1:2" x14ac:dyDescent="0.25">
      <c r="A6" s="25" t="s">
        <v>325</v>
      </c>
      <c r="B6" s="25">
        <f>COUNTIF(Bases!G:G,"Quarterly")</f>
        <v>33</v>
      </c>
    </row>
    <row r="7" spans="1:2" x14ac:dyDescent="0.25">
      <c r="A7" s="25" t="s">
        <v>326</v>
      </c>
      <c r="B7" s="25">
        <f>COUNTIF(Bases!G:G,"Annual")</f>
        <v>20</v>
      </c>
    </row>
    <row r="8" spans="1:2" x14ac:dyDescent="0.25">
      <c r="A8" s="23" t="s">
        <v>327</v>
      </c>
      <c r="B8" s="23">
        <f>COUNTIF(B̳ases!E:E,"No")</f>
        <v>147</v>
      </c>
    </row>
    <row r="9" spans="1:2" x14ac:dyDescent="0.25">
      <c r="A9" s="23" t="s">
        <v>328</v>
      </c>
      <c r="B9" s="23">
        <f>COUNTIF(B̳ases!E:E,"Yes")</f>
        <v>148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55" zoomScaleNormal="55" workbookViewId="0">
      <selection activeCell="Y62" sqref="Y62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A̳ssets</vt:lpstr>
      <vt:lpstr>B̳ases</vt:lpstr>
      <vt:lpstr>C̳álculos</vt:lpstr>
      <vt:lpstr>Bases</vt:lpstr>
      <vt:lpstr>Calculos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Hugo Gomes Ferreira Luiz</cp:lastModifiedBy>
  <dcterms:created xsi:type="dcterms:W3CDTF">2024-12-19T13:13:10Z</dcterms:created>
  <dcterms:modified xsi:type="dcterms:W3CDTF">2026-01-22T00:34:02Z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